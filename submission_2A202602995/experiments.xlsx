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Legend" sheetId="1" state="visible" r:id="rId1"/>
    <sheet name="Experiments" sheetId="2" state="visible" r:id="rId2"/>
    <sheet name="Seeds" sheetId="3" state="visible" r:id="rId3"/>
    <sheet name="Summary" sheetId="4" state="visible" r:id="rId4"/>
  </sheets>
  <definedNames>
    <definedName name="_xlnm._FilterDatabase" localSheetId="1" hidden="1">'Experiments'!$A$1:$AG$61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0.0000"/>
  </numFmts>
  <fonts count="9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sz val="14"/>
    </font>
    <font>
      <name val="Arial"/>
      <charset val="1"/>
      <family val="0"/>
      <sz val="10"/>
    </font>
    <font>
      <name val="Arial"/>
      <charset val="1"/>
      <family val="0"/>
      <b val="1"/>
      <sz val="10"/>
    </font>
    <font>
      <name val="Arial"/>
      <charset val="1"/>
      <family val="0"/>
      <color rgb="FF0000FF"/>
      <sz val="10"/>
    </font>
    <font>
      <name val="Arial"/>
      <charset val="1"/>
      <family val="0"/>
      <b val="1"/>
      <color rgb="FFFFFFFF"/>
      <sz val="10"/>
    </font>
  </fonts>
  <fills count="5">
    <fill>
      <patternFill/>
    </fill>
    <fill>
      <patternFill patternType="gray125"/>
    </fill>
    <fill>
      <patternFill patternType="solid">
        <fgColor rgb="FFFFF2CC"/>
        <bgColor rgb="FFE7E6E6"/>
      </patternFill>
    </fill>
    <fill>
      <patternFill patternType="solid">
        <fgColor rgb="FFE7E6E6"/>
        <bgColor rgb="FFFFF2CC"/>
      </patternFill>
    </fill>
    <fill>
      <patternFill patternType="solid">
        <fgColor rgb="FF1F3864"/>
        <bgColor rgb="FF333333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39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0" fillId="2" borderId="1" applyAlignment="1" pivotButton="0" quotePrefix="0" xfId="0">
      <alignment horizontal="general" vertical="bottom"/>
    </xf>
    <xf numFmtId="0" fontId="7" fillId="0" borderId="1" applyAlignment="1" pivotButton="0" quotePrefix="0" xfId="0">
      <alignment horizontal="general" vertical="bottom"/>
    </xf>
    <xf numFmtId="0" fontId="0" fillId="3" borderId="1" applyAlignment="1" pivotButton="0" quotePrefix="0" xfId="0">
      <alignment horizontal="general" vertical="bottom"/>
    </xf>
    <xf numFmtId="0" fontId="8" fillId="4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top" wrapText="1"/>
    </xf>
    <xf numFmtId="0" fontId="5" fillId="0" borderId="1" applyAlignment="1" pivotButton="0" quotePrefix="0" xfId="0">
      <alignment horizontal="general" vertical="top" wrapText="1"/>
    </xf>
    <xf numFmtId="0" fontId="8" fillId="4" borderId="0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general" vertical="bottom"/>
    </xf>
    <xf numFmtId="0" fontId="7" fillId="2" borderId="1" applyAlignment="1" pivotButton="0" quotePrefix="0" xfId="0">
      <alignment horizontal="general" vertical="bottom"/>
    </xf>
    <xf numFmtId="0" fontId="5" fillId="2" borderId="1" applyAlignment="1" pivotButton="0" quotePrefix="0" xfId="0">
      <alignment horizontal="general" vertical="bottom"/>
    </xf>
    <xf numFmtId="164" fontId="5" fillId="2" borderId="1" applyAlignment="1" pivotButton="0" quotePrefix="0" xfId="0">
      <alignment horizontal="general" vertical="bottom"/>
    </xf>
    <xf numFmtId="164" fontId="5" fillId="3" borderId="1" applyAlignment="1" pivotButton="0" quotePrefix="0" xfId="0">
      <alignment horizontal="general" vertical="bottom"/>
    </xf>
    <xf numFmtId="0" fontId="6" fillId="0" borderId="1" applyAlignment="1" pivotButton="0" quotePrefix="0" xfId="0">
      <alignment horizontal="general" vertical="bottom"/>
    </xf>
    <xf numFmtId="0" fontId="5" fillId="3" borderId="1" applyAlignment="1" pivotButton="0" quotePrefix="0" xfId="0">
      <alignment horizontal="general" vertical="bottom"/>
    </xf>
    <xf numFmtId="0" fontId="5" fillId="2" borderId="1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0" fillId="2" borderId="1" applyAlignment="1" pivotButton="0" quotePrefix="0" xfId="0">
      <alignment horizontal="general" vertical="bottom"/>
    </xf>
    <xf numFmtId="0" fontId="7" fillId="0" borderId="1" applyAlignment="1" pivotButton="0" quotePrefix="0" xfId="0">
      <alignment horizontal="general" vertical="bottom"/>
    </xf>
    <xf numFmtId="0" fontId="0" fillId="3" borderId="1" applyAlignment="1" pivotButton="0" quotePrefix="0" xfId="0">
      <alignment horizontal="general" vertical="bottom"/>
    </xf>
    <xf numFmtId="0" fontId="8" fillId="4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top" wrapText="1"/>
    </xf>
    <xf numFmtId="0" fontId="5" fillId="0" borderId="1" applyAlignment="1" pivotButton="0" quotePrefix="0" xfId="0">
      <alignment horizontal="general" vertical="top" wrapText="1"/>
    </xf>
    <xf numFmtId="0" fontId="8" fillId="4" borderId="0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general" vertical="bottom"/>
    </xf>
    <xf numFmtId="0" fontId="7" fillId="2" borderId="1" applyAlignment="1" pivotButton="0" quotePrefix="0" xfId="0">
      <alignment horizontal="general" vertical="bottom"/>
    </xf>
    <xf numFmtId="0" fontId="5" fillId="2" borderId="1" applyAlignment="1" pivotButton="0" quotePrefix="0" xfId="0">
      <alignment horizontal="general" vertical="bottom"/>
    </xf>
    <xf numFmtId="164" fontId="5" fillId="2" borderId="1" applyAlignment="1" pivotButton="0" quotePrefix="0" xfId="0">
      <alignment horizontal="general" vertical="bottom"/>
    </xf>
    <xf numFmtId="164" fontId="5" fillId="3" borderId="1" applyAlignment="1" pivotButton="0" quotePrefix="0" xfId="0">
      <alignment horizontal="general" vertical="bottom"/>
    </xf>
    <xf numFmtId="0" fontId="6" fillId="0" borderId="1" applyAlignment="1" pivotButton="0" quotePrefix="0" xfId="0">
      <alignment horizontal="general" vertical="bottom"/>
    </xf>
    <xf numFmtId="0" fontId="5" fillId="3" borderId="1" applyAlignment="1" pivotButton="0" quotePrefix="0" xfId="0">
      <alignment horizontal="general" vertical="bottom"/>
    </xf>
    <xf numFmtId="0" fontId="5" fillId="2" borderId="1" applyAlignment="1" pivotButton="0" quotePrefix="0" xfId="0">
      <alignment horizontal="general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6">
    <dxf>
      <fill>
        <patternFill patternType="solid">
          <fgColor rgb="FF1F3864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E7E6E6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E7E6E6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L56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24" customWidth="1" style="19" min="1" max="1"/>
    <col width="60" customWidth="1" style="19" min="2" max="2"/>
    <col width="52" customWidth="1" style="19" min="3" max="3"/>
    <col width="14" customWidth="1" style="19" min="4" max="12"/>
  </cols>
  <sheetData>
    <row r="1" ht="17.35" customHeight="1" s="20">
      <c r="A1" s="21" t="inlineStr">
        <is>
          <t>Bảng so sánh thí nghiệm — Lab Day 1</t>
        </is>
      </c>
    </row>
    <row r="2" ht="15" customHeight="1" s="20">
      <c r="A2" s="22" t="inlineStr">
        <is>
          <t>Lưu file này thành experiments.xlsx. Mỗi lần chạy là một dòng ở sheet Experiments (số dòng tuỳ bạn, có sẵn 60 dòng). Sheet Seeds và Summary tự tổng hợp.</t>
        </is>
      </c>
    </row>
    <row r="4" ht="15" customHeight="1" s="20">
      <c r="A4" s="23" t="inlineStr">
        <is>
          <t>Quy ước màu</t>
        </is>
      </c>
    </row>
    <row r="5" ht="15" customHeight="1" s="20">
      <c r="A5" s="24" t="inlineStr">
        <is>
          <t>   </t>
        </is>
      </c>
      <c r="B5" s="22" t="inlineStr">
        <is>
          <t>Ô vàng: bạn điền (cấu hình và kết quả đo).</t>
        </is>
      </c>
    </row>
    <row r="6" ht="15" customHeight="1" s="20">
      <c r="A6" s="25" t="inlineStr">
        <is>
          <t>abc</t>
        </is>
      </c>
      <c r="B6" s="22" t="inlineStr">
        <is>
          <t>Chữ xanh dương: giá trị đã điền sẵn cho dòng baseline; bạn có thể sửa.</t>
        </is>
      </c>
    </row>
    <row r="7" ht="15" customHeight="1" s="20">
      <c r="A7" s="26" t="inlineStr">
        <is>
          <t>   </t>
        </is>
      </c>
      <c r="B7" s="22" t="inlineStr">
        <is>
          <t>Ô xám: công thức tự tính. Không sửa.</t>
        </is>
      </c>
    </row>
    <row r="9" ht="15" customHeight="1" s="20">
      <c r="A9" s="23" t="inlineStr">
        <is>
          <t>Cách dùng</t>
        </is>
      </c>
    </row>
    <row r="10" ht="15" customHeight="1" s="20">
      <c r="A10" s="22" t="inlineStr">
        <is>
          <t>1. Sheet Experiments: dòng đầu là baseline mẫu. Điền lr và kết quả; thêm dòng cho mỗi thí nghiệm khác.</t>
        </is>
      </c>
    </row>
    <row r="11" ht="15" customHeight="1" s="20">
      <c r="A11" s="22" t="inlineStr">
        <is>
          <t>2. Mỗi dòng phải có ảnh riêng figures/&lt;exp_id&gt;.png. Điền tên file vào cột figure_file.</t>
        </is>
      </c>
    </row>
    <row r="12" ht="15" customHeight="1" s="20">
      <c r="A12" s="22" t="inlineStr">
        <is>
          <t>3. Sheet Seeds: nhập exp_id của các lần chạy baseline với seed khác nhau (đã gợi ý base-s1..3). Sheet tự tính trung bình, σ và 2σ.</t>
        </is>
      </c>
    </row>
    <row r="13" ht="15" customHeight="1" s="20">
      <c r="A13" s="22" t="inlineStr">
        <is>
          <t>4. Cột beyond_noise cho biết chênh lệch val_macro_f1 so với baseline có vượt 2σ không. Chỉ 'Có' mới là bằng chứng.</t>
        </is>
      </c>
    </row>
    <row r="14" ht="15" customHeight="1" s="20">
      <c r="A14" s="22" t="inlineStr">
        <is>
          <t>5. Sheet Summary: số dòng theo nhóm và số chủ đề (trong 7) đã được thử.</t>
        </is>
      </c>
    </row>
    <row r="16" ht="15" customHeight="1" s="20">
      <c r="A16" s="23" t="inlineStr">
        <is>
          <t>Từ điển cột (sheet Experiments)</t>
        </is>
      </c>
    </row>
    <row r="17" ht="15" customHeight="1" s="20">
      <c r="A17" s="27" t="inlineStr">
        <is>
          <t>Cột</t>
        </is>
      </c>
      <c r="B17" s="27" t="inlineStr">
        <is>
          <t>Ý nghĩa</t>
        </is>
      </c>
      <c r="C17" s="27" t="inlineStr">
        <is>
          <t>Cách điền</t>
        </is>
      </c>
    </row>
    <row r="18" ht="15" customHeight="1" s="20">
      <c r="A18" s="28" t="inlineStr">
        <is>
          <t>exp_id</t>
        </is>
      </c>
      <c r="B18" s="29" t="inlineStr">
        <is>
          <t>Mã thí nghiệm, duy nhất; trùng tên file ảnh</t>
        </is>
      </c>
      <c r="C18" s="29" t="inlineStr">
        <is>
          <t>Tự đặt, ví dụ base-s1, opt-adam-lr1e-3, drop-0.3.</t>
        </is>
      </c>
    </row>
    <row r="19" ht="23.85" customHeight="1" s="20">
      <c r="A19" s="28" t="inlineStr">
        <is>
          <t>group</t>
        </is>
      </c>
      <c r="B19" s="29" t="inlineStr">
        <is>
          <t>Nhóm: baseline | loss | optimizer | hparam | dropout | clipping | amp | init | final | other</t>
        </is>
      </c>
      <c r="C19" s="29" t="inlineStr">
        <is>
          <t>Chọn từ danh sách.</t>
        </is>
      </c>
    </row>
    <row r="20" ht="15" customHeight="1" s="20">
      <c r="A20" s="28" t="inlineStr">
        <is>
          <t>description</t>
        </is>
      </c>
      <c r="B20" s="29" t="inlineStr">
        <is>
          <t>Bạn đổi gì so với baseline</t>
        </is>
      </c>
      <c r="C20" s="29" t="inlineStr">
        <is>
          <t>Một câu.</t>
        </is>
      </c>
    </row>
    <row r="21" ht="15" customHeight="1" s="20">
      <c r="A21" s="28" t="inlineStr">
        <is>
          <t>loss</t>
        </is>
      </c>
      <c r="B21" s="29" t="inlineStr">
        <is>
          <t>Hàm mất mát: CE | MSE</t>
        </is>
      </c>
      <c r="C21" s="29" t="inlineStr">
        <is>
          <t>Chọn từ danh sách.</t>
        </is>
      </c>
    </row>
    <row r="22" ht="15" customHeight="1" s="20">
      <c r="A22" s="28" t="inlineStr">
        <is>
          <t>optimizer</t>
        </is>
      </c>
      <c r="B22" s="29" t="inlineStr">
        <is>
          <t>SGD | SGD+momentum | Adam | AdamW</t>
        </is>
      </c>
      <c r="C22" s="29" t="inlineStr">
        <is>
          <t>Chọn từ danh sách.</t>
        </is>
      </c>
    </row>
    <row r="23" ht="15" customHeight="1" s="20">
      <c r="A23" s="28" t="inlineStr">
        <is>
          <t>lr</t>
        </is>
      </c>
      <c r="B23" s="29" t="inlineStr">
        <is>
          <t>Tốc độ học η</t>
        </is>
      </c>
      <c r="C23" s="29" t="inlineStr">
        <is>
          <t>Ghi số, ví dụ 0.05 hoặc 1e-3.</t>
        </is>
      </c>
    </row>
    <row r="24" ht="15" customHeight="1" s="20">
      <c r="A24" s="28" t="inlineStr">
        <is>
          <t>weight_decay</t>
        </is>
      </c>
      <c r="B24" s="29" t="inlineStr">
        <is>
          <t>Hệ số suy giảm trọng số λ</t>
        </is>
      </c>
      <c r="C24" s="29" t="inlineStr">
        <is>
          <t>0 nếu không dùng.</t>
        </is>
      </c>
    </row>
    <row r="25" ht="15" customHeight="1" s="20">
      <c r="A25" s="28" t="inlineStr">
        <is>
          <t>batch</t>
        </is>
      </c>
      <c r="B25" s="29" t="inlineStr">
        <is>
          <t>Kích thước lô</t>
        </is>
      </c>
      <c r="C25" s="29" t="inlineStr">
        <is>
          <t>Số nguyên.</t>
        </is>
      </c>
    </row>
    <row r="26" ht="15" customHeight="1" s="20">
      <c r="A26" s="28" t="inlineStr">
        <is>
          <t>epochs</t>
        </is>
      </c>
      <c r="B26" s="29" t="inlineStr">
        <is>
          <t>Số epoch</t>
        </is>
      </c>
      <c r="C26" s="29" t="inlineStr">
        <is>
          <t>Khuyến nghị 20 cho mọi thí nghiệm.</t>
        </is>
      </c>
    </row>
    <row r="27" ht="15" customHeight="1" s="20">
      <c r="A27" s="28" t="inlineStr">
        <is>
          <t>hidden</t>
        </is>
      </c>
      <c r="B27" s="29" t="inlineStr">
        <is>
          <t>Các lớp ẩn, ví dụ 256-128</t>
        </is>
      </c>
      <c r="C27" s="29" t="inlineStr">
        <is>
          <t>Chuỗi nối bằng dấu gạch.</t>
        </is>
      </c>
    </row>
    <row r="28" ht="15" customHeight="1" s="20">
      <c r="A28" s="28" t="inlineStr">
        <is>
          <t>dropout</t>
        </is>
      </c>
      <c r="B28" s="29" t="inlineStr">
        <is>
          <t>Xác suất tắt nơ-ron q</t>
        </is>
      </c>
      <c r="C28" s="29" t="inlineStr">
        <is>
          <t>0 nếu không dùng.</t>
        </is>
      </c>
    </row>
    <row r="29" ht="15" customHeight="1" s="20">
      <c r="A29" s="28" t="inlineStr">
        <is>
          <t>clip_norm</t>
        </is>
      </c>
      <c r="B29" s="29" t="inlineStr">
        <is>
          <t>Ngưỡng cắt gradient c</t>
        </is>
      </c>
      <c r="C29" s="29" t="inlineStr">
        <is>
          <t>'none' nếu không clip, hoặc số.</t>
        </is>
      </c>
    </row>
    <row r="30" ht="15" customHeight="1" s="20">
      <c r="A30" s="28" t="inlineStr">
        <is>
          <t>precision</t>
        </is>
      </c>
      <c r="B30" s="29" t="inlineStr">
        <is>
          <t>fp32 | fp16 | bf16</t>
        </is>
      </c>
      <c r="C30" s="29" t="inlineStr">
        <is>
          <t>Chọn từ danh sách.</t>
        </is>
      </c>
    </row>
    <row r="31" ht="15" customHeight="1" s="20">
      <c r="A31" s="28" t="inlineStr">
        <is>
          <t>init</t>
        </is>
      </c>
      <c r="B31" s="29" t="inlineStr">
        <is>
          <t>zeros | normal | xavier | he | default</t>
        </is>
      </c>
      <c r="C31" s="29" t="inlineStr">
        <is>
          <t>Chọn từ danh sách; 'default' = mặc định của nn.Linear.</t>
        </is>
      </c>
    </row>
    <row r="32" ht="15" customHeight="1" s="20">
      <c r="A32" s="28" t="inlineStr">
        <is>
          <t>seed</t>
        </is>
      </c>
      <c r="B32" s="29" t="inlineStr">
        <is>
          <t>Seed của lần chạy</t>
        </is>
      </c>
      <c r="C32" s="29" t="inlineStr">
        <is>
          <t>Số nguyên.</t>
        </is>
      </c>
    </row>
    <row r="33" ht="15" customHeight="1" s="20">
      <c r="A33" s="28" t="inlineStr">
        <is>
          <t>step0_loss</t>
        </is>
      </c>
      <c r="B33" s="29" t="inlineStr">
        <is>
          <t>Loss trên val ở bước 0 (trước cập nhật đầu tiên)</t>
        </is>
      </c>
      <c r="C33" s="29" t="inlineStr">
        <is>
          <t>Kỳ vọng ≈ ln 7 = 1.946 nếu khởi tạo hợp lý.</t>
        </is>
      </c>
    </row>
    <row r="34" ht="15" customHeight="1" s="20">
      <c r="A34" s="28" t="inlineStr">
        <is>
          <t>best_val_loss</t>
        </is>
      </c>
      <c r="B34" s="29" t="inlineStr">
        <is>
          <t>Val loss thấp nhất qua các epoch</t>
        </is>
      </c>
      <c r="C34" s="29" t="n"/>
    </row>
    <row r="35" ht="15" customHeight="1" s="20">
      <c r="A35" s="28" t="inlineStr">
        <is>
          <t>best_epoch</t>
        </is>
      </c>
      <c r="B35" s="29" t="inlineStr">
        <is>
          <t>Epoch đạt best_val_loss</t>
        </is>
      </c>
      <c r="C35" s="29" t="inlineStr">
        <is>
          <t>Đếm từ 1.</t>
        </is>
      </c>
    </row>
    <row r="36" ht="15" customHeight="1" s="20">
      <c r="A36" s="28" t="inlineStr">
        <is>
          <t>final_train_loss</t>
        </is>
      </c>
      <c r="B36" s="29" t="inlineStr">
        <is>
          <t>Train loss ở epoch cuối (đo ở chế độ eval)</t>
        </is>
      </c>
      <c r="C36" s="29" t="n"/>
    </row>
    <row r="37" ht="15" customHeight="1" s="20">
      <c r="A37" s="28" t="inlineStr">
        <is>
          <t>final_val_loss</t>
        </is>
      </c>
      <c r="B37" s="29" t="inlineStr">
        <is>
          <t>Val loss ở epoch cuối</t>
        </is>
      </c>
      <c r="C37" s="29" t="n"/>
    </row>
    <row r="38" ht="15" customHeight="1" s="20">
      <c r="A38" s="28" t="inlineStr">
        <is>
          <t>val_acc</t>
        </is>
      </c>
      <c r="B38" s="29" t="inlineStr">
        <is>
          <t>Val accuracy ở best_epoch</t>
        </is>
      </c>
      <c r="C38" s="29" t="inlineStr">
        <is>
          <t>Phân số 0–1, ví dụ 0.8123.</t>
        </is>
      </c>
    </row>
    <row r="39" ht="15" customHeight="1" s="20">
      <c r="A39" s="28" t="inlineStr">
        <is>
          <t>val_macro_f1</t>
        </is>
      </c>
      <c r="B39" s="29" t="inlineStr">
        <is>
          <t>Val macro-F1 ở best_epoch</t>
        </is>
      </c>
      <c r="C39" s="29" t="inlineStr">
        <is>
          <t>Phân số 0–1.</t>
        </is>
      </c>
    </row>
    <row r="40" ht="15" customHeight="1" s="20">
      <c r="A40" s="28" t="inlineStr">
        <is>
          <t>time_per_epoch_s</t>
        </is>
      </c>
      <c r="B40" s="29" t="inlineStr">
        <is>
          <t>Thời gian trung bình mỗi epoch (giây)</t>
        </is>
      </c>
      <c r="C40" s="29" t="inlineStr">
        <is>
          <t>Có torch.cuda.synchronize().</t>
        </is>
      </c>
    </row>
    <row r="41" ht="15" customHeight="1" s="20">
      <c r="A41" s="28" t="inlineStr">
        <is>
          <t>peak_mem_MB</t>
        </is>
      </c>
      <c r="B41" s="29" t="inlineStr">
        <is>
          <t>Bộ nhớ GPU cực đại (MB)</t>
        </is>
      </c>
      <c r="C41" s="29" t="inlineStr">
        <is>
          <t>torch.cuda.max_memory_allocated()/2**20.</t>
        </is>
      </c>
    </row>
    <row r="42" ht="15" customHeight="1" s="20">
      <c r="A42" s="28" t="inlineStr">
        <is>
          <t>diverged</t>
        </is>
      </c>
      <c r="B42" s="29" t="inlineStr">
        <is>
          <t>Loss thành NaN/inf? Y | N</t>
        </is>
      </c>
      <c r="C42" s="29" t="inlineStr">
        <is>
          <t>Chọn từ danh sách.</t>
        </is>
      </c>
    </row>
    <row r="43" ht="23.85" customHeight="1" s="20">
      <c r="A43" s="28" t="inlineStr">
        <is>
          <t>eval_acc</t>
        </is>
      </c>
      <c r="B43" s="29" t="inlineStr">
        <is>
          <t>Accuracy trên tập eval</t>
        </is>
      </c>
      <c r="C43" s="29" t="inlineStr">
        <is>
          <t>CHỈ điền cho baseline và cấu hình cuối cùng, lấy từ eval_result.json.</t>
        </is>
      </c>
    </row>
    <row r="44" ht="23.85" customHeight="1" s="20">
      <c r="A44" s="28" t="inlineStr">
        <is>
          <t>eval_macro_f1</t>
        </is>
      </c>
      <c r="B44" s="29" t="inlineStr">
        <is>
          <t>macro-F1 trên tập eval</t>
        </is>
      </c>
      <c r="C44" s="29" t="inlineStr">
        <is>
          <t>CHỈ điền cho baseline và cấu hình cuối cùng, lấy từ eval_result.json.</t>
        </is>
      </c>
    </row>
    <row r="45" ht="15" customHeight="1" s="20">
      <c r="A45" s="28" t="inlineStr">
        <is>
          <t>figure_file</t>
        </is>
      </c>
      <c r="B45" s="29" t="inlineStr">
        <is>
          <t>Tên file ảnh</t>
        </is>
      </c>
      <c r="C45" s="29" t="inlineStr">
        <is>
          <t>figures/&lt;exp_id&gt;.png</t>
        </is>
      </c>
    </row>
    <row r="46" ht="15" customHeight="1" s="20">
      <c r="A46" s="28" t="inlineStr">
        <is>
          <t>notes</t>
        </is>
      </c>
      <c r="B46" s="29" t="inlineStr">
        <is>
          <t>Ghi chú</t>
        </is>
      </c>
      <c r="C46" s="29" t="inlineStr">
        <is>
          <t>Dự đoán trước, quan sát, lý do thiếu số liệu, lỗi gặp phải...</t>
        </is>
      </c>
    </row>
    <row r="47" ht="15" customHeight="1" s="20">
      <c r="A47" s="28" t="inlineStr">
        <is>
          <t>step0_gap_vs_lnC</t>
        </is>
      </c>
      <c r="B47" s="29" t="inlineStr">
        <is>
          <t>step0_loss − ln 7</t>
        </is>
      </c>
      <c r="C47" s="29" t="inlineStr">
        <is>
          <t>Tự tính. Gần 0 là tốt.</t>
        </is>
      </c>
    </row>
    <row r="48" ht="15" customHeight="1" s="20">
      <c r="A48" s="28" t="inlineStr">
        <is>
          <t>gap_val_minus_train</t>
        </is>
      </c>
      <c r="B48" s="29" t="inlineStr">
        <is>
          <t>final_val_loss − final_train_loss</t>
        </is>
      </c>
      <c r="C48" s="29" t="inlineStr">
        <is>
          <t>Tự tính. Khoảng cách quá khớp.</t>
        </is>
      </c>
    </row>
    <row r="49" ht="15" customHeight="1" s="20">
      <c r="A49" s="28" t="inlineStr">
        <is>
          <t>delta_val_f1_vs_base</t>
        </is>
      </c>
      <c r="B49" s="29" t="inlineStr">
        <is>
          <t>val_macro_f1 − trung bình baseline</t>
        </is>
      </c>
      <c r="C49" s="29" t="inlineStr">
        <is>
          <t>Tự tính từ sheet Seeds.</t>
        </is>
      </c>
    </row>
    <row r="50" ht="15" customHeight="1" s="20">
      <c r="A50" s="28" t="inlineStr">
        <is>
          <t>beyond_noise</t>
        </is>
      </c>
      <c r="B50" s="29" t="inlineStr">
        <is>
          <t>|delta| &gt; 2σ_seed ?</t>
        </is>
      </c>
      <c r="C50" s="29" t="inlineStr">
        <is>
          <t>Tự tính: Có / Không. Cần ≥ 2 seed baseline trong sheet Seeds.</t>
        </is>
      </c>
    </row>
    <row r="52" ht="15" customHeight="1" s="20">
      <c r="A52" s="23" t="inlineStr">
        <is>
          <t>Ví dụ một dòng điền xong (SỐ MINH HOẠ ĐỊNH DẠNG, KHÔNG PHẢI KẾT QUẢ THẬT — đừng sao chép)</t>
        </is>
      </c>
    </row>
    <row r="53" ht="23.85" customHeight="1" s="20">
      <c r="A53" s="30" t="inlineStr">
        <is>
          <t>exp_id</t>
        </is>
      </c>
      <c r="B53" s="30" t="inlineStr">
        <is>
          <t>group</t>
        </is>
      </c>
      <c r="C53" s="30" t="inlineStr">
        <is>
          <t>optimizer</t>
        </is>
      </c>
      <c r="D53" s="30" t="inlineStr">
        <is>
          <t>lr</t>
        </is>
      </c>
      <c r="E53" s="30" t="inlineStr">
        <is>
          <t>step0_loss</t>
        </is>
      </c>
      <c r="F53" s="30" t="inlineStr">
        <is>
          <t>best_val_loss</t>
        </is>
      </c>
      <c r="G53" s="30" t="inlineStr">
        <is>
          <t>best_epoch</t>
        </is>
      </c>
      <c r="H53" s="30" t="inlineStr">
        <is>
          <t>val_acc</t>
        </is>
      </c>
      <c r="I53" s="30" t="inlineStr">
        <is>
          <t>val_macro_f1</t>
        </is>
      </c>
      <c r="J53" s="30" t="inlineStr">
        <is>
          <t>time_per_epoch_s</t>
        </is>
      </c>
      <c r="K53" s="30" t="inlineStr">
        <is>
          <t>diverged</t>
        </is>
      </c>
      <c r="L53" s="30" t="inlineStr">
        <is>
          <t>figure_file</t>
        </is>
      </c>
    </row>
    <row r="54" ht="15" customHeight="1" s="20">
      <c r="A54" s="31" t="inlineStr">
        <is>
          <t>opt-adam-lr1e-3</t>
        </is>
      </c>
      <c r="B54" s="31" t="inlineStr">
        <is>
          <t>optimizer</t>
        </is>
      </c>
      <c r="C54" s="31" t="inlineStr">
        <is>
          <t>Adam</t>
        </is>
      </c>
      <c r="D54" s="31" t="n">
        <v>0.001</v>
      </c>
      <c r="E54" s="31" t="n">
        <v>1.95</v>
      </c>
      <c r="F54" s="31" t="n">
        <v>0.6</v>
      </c>
      <c r="G54" s="31" t="n">
        <v>18</v>
      </c>
      <c r="H54" s="31" t="n">
        <v>0.75</v>
      </c>
      <c r="I54" s="31" t="n">
        <v>0.65</v>
      </c>
      <c r="J54" s="31" t="n">
        <v>2.1</v>
      </c>
      <c r="K54" s="31" t="inlineStr">
        <is>
          <t>N</t>
        </is>
      </c>
      <c r="L54" s="31" t="inlineStr">
        <is>
          <t>figures/opt-adam-lr1e-3.png</t>
        </is>
      </c>
    </row>
    <row r="56" ht="15" customHeight="1" s="20">
      <c r="A56" s="22" t="inlineStr">
        <is>
          <t>ln 7 = 1.9459 (loss bước 0 kỳ vọng với 7 lớp). Ngưỡng nhiễu = 2 × độ lệch chuẩn của các seed baseline.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AG6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baseColWidth="8" defaultColWidth="8.6796875" defaultRowHeight="15" customHeight="0" zeroHeight="0" outlineLevelRow="0"/>
  <cols>
    <col width="16" customWidth="1" style="19" min="1" max="1"/>
    <col width="11" customWidth="1" style="19" min="2" max="2"/>
    <col width="34" customWidth="1" style="19" min="3" max="3"/>
    <col width="8" customWidth="1" style="19" min="4" max="4"/>
    <col width="15" customWidth="1" style="19" min="5" max="5"/>
    <col width="9" customWidth="1" style="19" min="6" max="7"/>
    <col width="7" customWidth="1" style="19" min="8" max="9"/>
    <col width="12" customWidth="1" style="19" min="10" max="10"/>
    <col width="8" customWidth="1" style="19" min="11" max="11"/>
    <col width="9" customWidth="1" style="19" min="12" max="12"/>
    <col width="10" customWidth="1" style="19" min="13" max="13"/>
    <col width="9" customWidth="1" style="19" min="14" max="14"/>
    <col width="6" customWidth="1" style="19" min="15" max="15"/>
    <col width="10" customWidth="1" style="19" min="16" max="17"/>
    <col width="8" customWidth="1" style="19" min="18" max="18"/>
    <col width="10" customWidth="1" style="19" min="19" max="20"/>
    <col width="9" customWidth="1" style="19" min="21" max="22"/>
    <col width="10" customWidth="1" style="19" min="23" max="23"/>
    <col width="9" customWidth="1" style="19" min="24" max="27"/>
    <col width="22" customWidth="1" style="19" min="28" max="28"/>
    <col width="36" customWidth="1" style="19" min="29" max="29"/>
    <col width="10" customWidth="1" style="19" min="30" max="32"/>
    <col width="9" customWidth="1" style="19" min="33" max="33"/>
  </cols>
  <sheetData>
    <row r="1" ht="42" customHeight="1" s="20">
      <c r="A1" s="27" t="inlineStr">
        <is>
          <t>exp_id</t>
        </is>
      </c>
      <c r="B1" s="27" t="inlineStr">
        <is>
          <t>group</t>
        </is>
      </c>
      <c r="C1" s="27" t="inlineStr">
        <is>
          <t>description</t>
        </is>
      </c>
      <c r="D1" s="27" t="inlineStr">
        <is>
          <t>loss</t>
        </is>
      </c>
      <c r="E1" s="27" t="inlineStr">
        <is>
          <t>optimizer</t>
        </is>
      </c>
      <c r="F1" s="27" t="inlineStr">
        <is>
          <t>lr</t>
        </is>
      </c>
      <c r="G1" s="27" t="inlineStr">
        <is>
          <t>weight_decay</t>
        </is>
      </c>
      <c r="H1" s="27" t="inlineStr">
        <is>
          <t>batch</t>
        </is>
      </c>
      <c r="I1" s="27" t="inlineStr">
        <is>
          <t>epochs</t>
        </is>
      </c>
      <c r="J1" s="27" t="inlineStr">
        <is>
          <t>hidden</t>
        </is>
      </c>
      <c r="K1" s="27" t="inlineStr">
        <is>
          <t>dropout</t>
        </is>
      </c>
      <c r="L1" s="27" t="inlineStr">
        <is>
          <t>clip_norm</t>
        </is>
      </c>
      <c r="M1" s="27" t="inlineStr">
        <is>
          <t>precision</t>
        </is>
      </c>
      <c r="N1" s="27" t="inlineStr">
        <is>
          <t>init</t>
        </is>
      </c>
      <c r="O1" s="27" t="inlineStr">
        <is>
          <t>seed</t>
        </is>
      </c>
      <c r="P1" s="27" t="inlineStr">
        <is>
          <t>step0_loss</t>
        </is>
      </c>
      <c r="Q1" s="27" t="inlineStr">
        <is>
          <t>best_val_loss</t>
        </is>
      </c>
      <c r="R1" s="27" t="inlineStr">
        <is>
          <t>best_epoch</t>
        </is>
      </c>
      <c r="S1" s="27" t="inlineStr">
        <is>
          <t>final_train_loss</t>
        </is>
      </c>
      <c r="T1" s="27" t="inlineStr">
        <is>
          <t>final_val_loss</t>
        </is>
      </c>
      <c r="U1" s="27" t="inlineStr">
        <is>
          <t>val_acc</t>
        </is>
      </c>
      <c r="V1" s="27" t="inlineStr">
        <is>
          <t>val_macro_f1</t>
        </is>
      </c>
      <c r="W1" s="27" t="inlineStr">
        <is>
          <t>time_per_epoch_s</t>
        </is>
      </c>
      <c r="X1" s="27" t="inlineStr">
        <is>
          <t>peak_mem_MB</t>
        </is>
      </c>
      <c r="Y1" s="27" t="inlineStr">
        <is>
          <t>diverged</t>
        </is>
      </c>
      <c r="Z1" s="27" t="inlineStr">
        <is>
          <t>eval_acc</t>
        </is>
      </c>
      <c r="AA1" s="27" t="inlineStr">
        <is>
          <t>eval_macro_f1</t>
        </is>
      </c>
      <c r="AB1" s="27" t="inlineStr">
        <is>
          <t>figure_file</t>
        </is>
      </c>
      <c r="AC1" s="27" t="inlineStr">
        <is>
          <t>notes</t>
        </is>
      </c>
      <c r="AD1" s="27" t="inlineStr">
        <is>
          <t>step0_gap_vs_lnC</t>
        </is>
      </c>
      <c r="AE1" s="27" t="inlineStr">
        <is>
          <t>gap_val_minus_train</t>
        </is>
      </c>
      <c r="AF1" s="27" t="inlineStr">
        <is>
          <t>delta_val_f1_vs_base</t>
        </is>
      </c>
      <c r="AG1" s="27" t="inlineStr">
        <is>
          <t>beyond_noise</t>
        </is>
      </c>
    </row>
    <row r="2" ht="15" customHeight="1" s="20">
      <c r="A2" s="32" t="inlineStr">
        <is>
          <t>amp-fp16</t>
        </is>
      </c>
      <c r="B2" s="32" t="inlineStr">
        <is>
          <t>amp</t>
        </is>
      </c>
      <c r="C2" s="32" t="inlineStr">
        <is>
          <t>Mixed Precision FP16 với GradScaler</t>
        </is>
      </c>
      <c r="D2" s="32" t="inlineStr">
        <is>
          <t>CE</t>
        </is>
      </c>
      <c r="E2" s="32" t="inlineStr">
        <is>
          <t>sgd_momentum</t>
        </is>
      </c>
      <c r="F2" s="33" t="n">
        <v>0.05</v>
      </c>
      <c r="G2" s="32" t="n">
        <v>0</v>
      </c>
      <c r="H2" s="32" t="n">
        <v>512</v>
      </c>
      <c r="I2" s="32" t="n">
        <v>20</v>
      </c>
      <c r="J2" s="32" t="inlineStr">
        <is>
          <t>[256, 128]</t>
        </is>
      </c>
      <c r="K2" s="32" t="n">
        <v>0</v>
      </c>
      <c r="L2" s="32" t="inlineStr">
        <is>
          <t>none</t>
        </is>
      </c>
      <c r="M2" s="32" t="inlineStr">
        <is>
          <t>FP16</t>
        </is>
      </c>
      <c r="N2" s="32" t="inlineStr">
        <is>
          <t>he</t>
        </is>
      </c>
      <c r="O2" s="32" t="n">
        <v>1</v>
      </c>
      <c r="P2" s="34" t="n">
        <v>2.269082259332679</v>
      </c>
      <c r="Q2" s="34" t="n">
        <v>0.2473405522986868</v>
      </c>
      <c r="R2" s="33" t="n">
        <v>20</v>
      </c>
      <c r="S2" s="34" t="n">
        <v>0.2246122071027756</v>
      </c>
      <c r="T2" s="34" t="n">
        <v>0.2473405522986868</v>
      </c>
      <c r="U2" s="34" t="n">
        <v>0.9004647135734558</v>
      </c>
      <c r="V2" s="34" t="n">
        <v>0.8420840079958675</v>
      </c>
      <c r="W2" s="33" t="n">
        <v>1.907354439998744</v>
      </c>
      <c r="X2" s="33" t="n">
        <v>0</v>
      </c>
      <c r="Y2" s="33" t="inlineStr">
        <is>
          <t>Không</t>
        </is>
      </c>
      <c r="Z2" s="34" t="inlineStr"/>
      <c r="AA2" s="34" t="inlineStr"/>
      <c r="AB2" s="33" t="inlineStr">
        <is>
          <t>figures/amp-fp16.png</t>
        </is>
      </c>
      <c r="AC2" s="33" t="inlineStr"/>
      <c r="AD2" s="35">
        <f>IF(P2="","",P2-LN(7))</f>
        <v/>
      </c>
      <c r="AE2" s="35">
        <f>IF(OR(T2="",S2=""),"",T2-S2)</f>
        <v/>
      </c>
      <c r="AF2" s="35">
        <f>IF(OR(V2="",Seeds!$C$8=""),"",V2-Seeds!$C$8)</f>
        <v/>
      </c>
      <c r="AG2" s="35">
        <f>IF(OR(AF2="",Seeds!$C$10=""),"",IF(ABS(AF2)&gt;Seeds!$C$10,"Có","Không"))</f>
        <v/>
      </c>
    </row>
    <row r="3" ht="15" customHeight="1" s="20">
      <c r="A3" s="33" t="inlineStr">
        <is>
          <t>arch-mdeep</t>
        </is>
      </c>
      <c r="B3" s="33" t="inlineStr">
        <is>
          <t>hparam</t>
        </is>
      </c>
      <c r="C3" s="33" t="inlineStr">
        <is>
          <t>Kiến trúc sâu M-deep (256-128-64)</t>
        </is>
      </c>
      <c r="D3" s="33" t="inlineStr">
        <is>
          <t>CE</t>
        </is>
      </c>
      <c r="E3" s="33" t="inlineStr">
        <is>
          <t>sgd_momentum</t>
        </is>
      </c>
      <c r="F3" s="33" t="n">
        <v>0.05</v>
      </c>
      <c r="G3" s="33" t="n">
        <v>0</v>
      </c>
      <c r="H3" s="33" t="n">
        <v>512</v>
      </c>
      <c r="I3" s="33" t="n">
        <v>20</v>
      </c>
      <c r="J3" s="33" t="inlineStr">
        <is>
          <t>[256, 128, 64]</t>
        </is>
      </c>
      <c r="K3" s="33" t="n">
        <v>0</v>
      </c>
      <c r="L3" s="33" t="n"/>
      <c r="M3" s="33" t="inlineStr">
        <is>
          <t>FP32</t>
        </is>
      </c>
      <c r="N3" s="33" t="inlineStr">
        <is>
          <t>he</t>
        </is>
      </c>
      <c r="O3" s="33" t="n">
        <v>1</v>
      </c>
      <c r="P3" s="34" t="n">
        <v>1.909946456594831</v>
      </c>
      <c r="Q3" s="34" t="n">
        <v>0.210054180218919</v>
      </c>
      <c r="R3" s="33" t="n">
        <v>20</v>
      </c>
      <c r="S3" s="34" t="n">
        <v>0.1809287039375305</v>
      </c>
      <c r="T3" s="34" t="n">
        <v>0.210054180218919</v>
      </c>
      <c r="U3" s="34" t="n">
        <v>0.9165357947349548</v>
      </c>
      <c r="V3" s="34" t="n">
        <v>0.8656371837560436</v>
      </c>
      <c r="W3" s="33" t="n">
        <v>2.866101310002705</v>
      </c>
      <c r="X3" s="33" t="n">
        <v>0</v>
      </c>
      <c r="Y3" s="33" t="inlineStr">
        <is>
          <t>Không</t>
        </is>
      </c>
      <c r="Z3" s="34" t="n">
        <v>0.9152259408104783</v>
      </c>
      <c r="AA3" s="34" t="n">
        <v>0.8651457633040278</v>
      </c>
      <c r="AB3" s="33" t="inlineStr">
        <is>
          <t>figures/arch-mdeep.png</t>
        </is>
      </c>
      <c r="AC3" s="33" t="inlineStr"/>
      <c r="AD3" s="35">
        <f>IF(P3="","",P3-LN(7))</f>
        <v/>
      </c>
      <c r="AE3" s="35">
        <f>IF(OR(T3="",S3=""),"",T3-S3)</f>
        <v/>
      </c>
      <c r="AF3" s="35">
        <f>IF(OR(V3="",Seeds!$C$8=""),"",V3-Seeds!$C$8)</f>
        <v/>
      </c>
      <c r="AG3" s="35">
        <f>IF(OR(AF3="",Seeds!$C$10=""),"",IF(ABS(AF3)&gt;Seeds!$C$10,"Có","Không"))</f>
        <v/>
      </c>
    </row>
    <row r="4" ht="15" customHeight="1" s="20">
      <c r="A4" s="33" t="inlineStr">
        <is>
          <t>arch-mwide</t>
        </is>
      </c>
      <c r="B4" s="33" t="inlineStr">
        <is>
          <t>hparam</t>
        </is>
      </c>
      <c r="C4" s="33" t="inlineStr">
        <is>
          <t>Kiến trúc rộng M-wide (512-256)</t>
        </is>
      </c>
      <c r="D4" s="33" t="inlineStr">
        <is>
          <t>CE</t>
        </is>
      </c>
      <c r="E4" s="33" t="inlineStr">
        <is>
          <t>sgd_momentum</t>
        </is>
      </c>
      <c r="F4" s="33" t="n">
        <v>0.05</v>
      </c>
      <c r="G4" s="33" t="n">
        <v>0</v>
      </c>
      <c r="H4" s="33" t="n">
        <v>512</v>
      </c>
      <c r="I4" s="33" t="n">
        <v>20</v>
      </c>
      <c r="J4" s="33" t="inlineStr">
        <is>
          <t>[512, 256]</t>
        </is>
      </c>
      <c r="K4" s="33" t="n">
        <v>0</v>
      </c>
      <c r="L4" s="33" t="n"/>
      <c r="M4" s="33" t="inlineStr">
        <is>
          <t>FP32</t>
        </is>
      </c>
      <c r="N4" s="33" t="inlineStr">
        <is>
          <t>he</t>
        </is>
      </c>
      <c r="O4" s="33" t="n">
        <v>1</v>
      </c>
      <c r="P4" s="34" t="n">
        <v>1.918253089353644</v>
      </c>
      <c r="Q4" s="34" t="n">
        <v>0.2292244649534061</v>
      </c>
      <c r="R4" s="33" t="n">
        <v>19</v>
      </c>
      <c r="S4" s="34" t="n">
        <v>0.2412704430532455</v>
      </c>
      <c r="T4" s="34" t="n">
        <v>0.2695012027870416</v>
      </c>
      <c r="U4" s="34" t="n">
        <v>0.9091994762420654</v>
      </c>
      <c r="V4" s="34" t="n">
        <v>0.8625900927375802</v>
      </c>
      <c r="W4" s="33" t="n">
        <v>4.250580280000577</v>
      </c>
      <c r="X4" s="33" t="n">
        <v>0</v>
      </c>
      <c r="Y4" s="33" t="inlineStr">
        <is>
          <t>Không</t>
        </is>
      </c>
      <c r="Z4" s="34" t="inlineStr"/>
      <c r="AA4" s="34" t="inlineStr"/>
      <c r="AB4" s="33" t="inlineStr">
        <is>
          <t>figures/arch-mwide.png</t>
        </is>
      </c>
      <c r="AC4" s="33" t="inlineStr"/>
      <c r="AD4" s="35">
        <f>IF(P4="","",P4-LN(7))</f>
        <v/>
      </c>
      <c r="AE4" s="35">
        <f>IF(OR(T4="",S4=""),"",T4-S4)</f>
        <v/>
      </c>
      <c r="AF4" s="35">
        <f>IF(OR(V4="",Seeds!$C$8=""),"",V4-Seeds!$C$8)</f>
        <v/>
      </c>
      <c r="AG4" s="35">
        <f>IF(OR(AF4="",Seeds!$C$10=""),"",IF(ABS(AF4)&gt;Seeds!$C$10,"Có","Không"))</f>
        <v/>
      </c>
    </row>
    <row r="5" ht="15" customHeight="1" s="20">
      <c r="A5" s="33" t="inlineStr">
        <is>
          <t>base-s1</t>
        </is>
      </c>
      <c r="B5" s="33" t="inlineStr">
        <is>
          <t>baseline</t>
        </is>
      </c>
      <c r="C5" s="33" t="inlineStr">
        <is>
          <t>Baseline M-base (seed 1)</t>
        </is>
      </c>
      <c r="D5" s="33" t="inlineStr">
        <is>
          <t>CE</t>
        </is>
      </c>
      <c r="E5" s="33" t="inlineStr">
        <is>
          <t>sgd_momentum</t>
        </is>
      </c>
      <c r="F5" s="33" t="n">
        <v>0.05</v>
      </c>
      <c r="G5" s="33" t="n">
        <v>0</v>
      </c>
      <c r="H5" s="33" t="n">
        <v>512</v>
      </c>
      <c r="I5" s="33" t="n">
        <v>20</v>
      </c>
      <c r="J5" s="33" t="inlineStr">
        <is>
          <t>[256, 128]</t>
        </is>
      </c>
      <c r="K5" s="33" t="n">
        <v>0</v>
      </c>
      <c r="L5" s="33" t="n"/>
      <c r="M5" s="33" t="inlineStr">
        <is>
          <t>FP32</t>
        </is>
      </c>
      <c r="N5" s="33" t="inlineStr">
        <is>
          <t>he</t>
        </is>
      </c>
      <c r="O5" s="33" t="n">
        <v>1</v>
      </c>
      <c r="P5" s="34" t="n">
        <v>2.269082259332679</v>
      </c>
      <c r="Q5" s="34" t="n">
        <v>0.2473405522986868</v>
      </c>
      <c r="R5" s="33" t="n">
        <v>20</v>
      </c>
      <c r="S5" s="34" t="n">
        <v>0.2246122071027756</v>
      </c>
      <c r="T5" s="34" t="n">
        <v>0.2473405522986868</v>
      </c>
      <c r="U5" s="34" t="n">
        <v>0.9004647135734558</v>
      </c>
      <c r="V5" s="34" t="n">
        <v>0.8420840079958675</v>
      </c>
      <c r="W5" s="33" t="n">
        <v>1.856056129998615</v>
      </c>
      <c r="X5" s="33" t="n">
        <v>0</v>
      </c>
      <c r="Y5" s="33" t="inlineStr">
        <is>
          <t>Không</t>
        </is>
      </c>
      <c r="Z5" s="34" t="n">
        <v>0.8992366806364723</v>
      </c>
      <c r="AA5" s="34" t="n">
        <v>0.8409630480119029</v>
      </c>
      <c r="AB5" s="33" t="inlineStr">
        <is>
          <t>figures/base-s1.png</t>
        </is>
      </c>
      <c r="AC5" s="33" t="inlineStr"/>
      <c r="AD5" s="35">
        <f>IF(P5="","",P5-LN(7))</f>
        <v/>
      </c>
      <c r="AE5" s="35">
        <f>IF(OR(T5="",S5=""),"",T5-S5)</f>
        <v/>
      </c>
      <c r="AF5" s="35">
        <f>IF(OR(V5="",Seeds!$C$8=""),"",V5-Seeds!$C$8)</f>
        <v/>
      </c>
      <c r="AG5" s="35">
        <f>IF(OR(AF5="",Seeds!$C$10=""),"",IF(ABS(AF5)&gt;Seeds!$C$10,"Có","Không"))</f>
        <v/>
      </c>
    </row>
    <row r="6" ht="15" customHeight="1" s="20">
      <c r="A6" s="33" t="inlineStr">
        <is>
          <t>base-s2</t>
        </is>
      </c>
      <c r="B6" s="33" t="inlineStr">
        <is>
          <t>baseline</t>
        </is>
      </c>
      <c r="C6" s="33" t="inlineStr">
        <is>
          <t>Baseline M-base (seed 2)</t>
        </is>
      </c>
      <c r="D6" s="33" t="inlineStr">
        <is>
          <t>CE</t>
        </is>
      </c>
      <c r="E6" s="33" t="inlineStr">
        <is>
          <t>sgd_momentum</t>
        </is>
      </c>
      <c r="F6" s="33" t="n">
        <v>0.05</v>
      </c>
      <c r="G6" s="33" t="n">
        <v>0</v>
      </c>
      <c r="H6" s="33" t="n">
        <v>512</v>
      </c>
      <c r="I6" s="33" t="n">
        <v>20</v>
      </c>
      <c r="J6" s="33" t="inlineStr">
        <is>
          <t>[256, 128]</t>
        </is>
      </c>
      <c r="K6" s="33" t="n">
        <v>0</v>
      </c>
      <c r="L6" s="33" t="n"/>
      <c r="M6" s="33" t="inlineStr">
        <is>
          <t>FP32</t>
        </is>
      </c>
      <c r="N6" s="33" t="inlineStr">
        <is>
          <t>he</t>
        </is>
      </c>
      <c r="O6" s="33" t="n">
        <v>2</v>
      </c>
      <c r="P6" s="34" t="n">
        <v>1.978168605439868</v>
      </c>
      <c r="Q6" s="34" t="n">
        <v>0.2566365431529751</v>
      </c>
      <c r="R6" s="33" t="n">
        <v>20</v>
      </c>
      <c r="S6" s="34" t="n">
        <v>0.2367490953826904</v>
      </c>
      <c r="T6" s="34" t="n">
        <v>0.2566365431529751</v>
      </c>
      <c r="U6" s="34" t="n">
        <v>0.8971945643424988</v>
      </c>
      <c r="V6" s="34" t="n">
        <v>0.8350163512955319</v>
      </c>
      <c r="W6" s="33" t="n">
        <v>2.929050654998719</v>
      </c>
      <c r="X6" s="33" t="n">
        <v>0</v>
      </c>
      <c r="Y6" s="33" t="inlineStr">
        <is>
          <t>Không</t>
        </is>
      </c>
      <c r="Z6" s="34" t="inlineStr"/>
      <c r="AA6" s="34" t="inlineStr"/>
      <c r="AB6" s="33" t="inlineStr">
        <is>
          <t>figures/base-s2.png</t>
        </is>
      </c>
      <c r="AC6" s="33" t="inlineStr"/>
      <c r="AD6" s="35">
        <f>IF(P6="","",P6-LN(7))</f>
        <v/>
      </c>
      <c r="AE6" s="35">
        <f>IF(OR(T6="",S6=""),"",T6-S6)</f>
        <v/>
      </c>
      <c r="AF6" s="35">
        <f>IF(OR(V6="",Seeds!$C$8=""),"",V6-Seeds!$C$8)</f>
        <v/>
      </c>
      <c r="AG6" s="35">
        <f>IF(OR(AF6="",Seeds!$C$10=""),"",IF(ABS(AF6)&gt;Seeds!$C$10,"Có","Không"))</f>
        <v/>
      </c>
    </row>
    <row r="7" ht="15" customHeight="1" s="20">
      <c r="A7" s="33" t="inlineStr">
        <is>
          <t>base-s3</t>
        </is>
      </c>
      <c r="B7" s="33" t="inlineStr">
        <is>
          <t>baseline</t>
        </is>
      </c>
      <c r="C7" s="33" t="inlineStr">
        <is>
          <t>Baseline M-base (seed 3)</t>
        </is>
      </c>
      <c r="D7" s="33" t="inlineStr">
        <is>
          <t>CE</t>
        </is>
      </c>
      <c r="E7" s="33" t="inlineStr">
        <is>
          <t>sgd_momentum</t>
        </is>
      </c>
      <c r="F7" s="33" t="n">
        <v>0.05</v>
      </c>
      <c r="G7" s="33" t="n">
        <v>0</v>
      </c>
      <c r="H7" s="33" t="n">
        <v>512</v>
      </c>
      <c r="I7" s="33" t="n">
        <v>20</v>
      </c>
      <c r="J7" s="33" t="inlineStr">
        <is>
          <t>[256, 128]</t>
        </is>
      </c>
      <c r="K7" s="33" t="n">
        <v>0</v>
      </c>
      <c r="L7" s="33" t="n"/>
      <c r="M7" s="33" t="inlineStr">
        <is>
          <t>FP32</t>
        </is>
      </c>
      <c r="N7" s="33" t="inlineStr">
        <is>
          <t>he</t>
        </is>
      </c>
      <c r="O7" s="33" t="n">
        <v>3</v>
      </c>
      <c r="P7" s="34" t="n">
        <v>1.900536108908454</v>
      </c>
      <c r="Q7" s="34" t="n">
        <v>0.2465199292137594</v>
      </c>
      <c r="R7" s="33" t="n">
        <v>17</v>
      </c>
      <c r="S7" s="34" t="n">
        <v>0.2572016780948639</v>
      </c>
      <c r="T7" s="34" t="n">
        <v>0.277646777235198</v>
      </c>
      <c r="U7" s="34" t="n">
        <v>0.9007874131202698</v>
      </c>
      <c r="V7" s="34" t="n">
        <v>0.8370480313796476</v>
      </c>
      <c r="W7" s="33" t="n">
        <v>1.953451184998994</v>
      </c>
      <c r="X7" s="33" t="n">
        <v>0</v>
      </c>
      <c r="Y7" s="33" t="inlineStr">
        <is>
          <t>Không</t>
        </is>
      </c>
      <c r="Z7" s="34" t="inlineStr"/>
      <c r="AA7" s="34" t="inlineStr"/>
      <c r="AB7" s="33" t="inlineStr">
        <is>
          <t>figures/base-s3.png</t>
        </is>
      </c>
      <c r="AC7" s="33" t="inlineStr"/>
      <c r="AD7" s="35">
        <f>IF(P7="","",P7-LN(7))</f>
        <v/>
      </c>
      <c r="AE7" s="35">
        <f>IF(OR(T7="",S7=""),"",T7-S7)</f>
        <v/>
      </c>
      <c r="AF7" s="35">
        <f>IF(OR(V7="",Seeds!$C$8=""),"",V7-Seeds!$C$8)</f>
        <v/>
      </c>
      <c r="AG7" s="35">
        <f>IF(OR(AF7="",Seeds!$C$10=""),"",IF(ABS(AF7)&gt;Seeds!$C$10,"Có","Không"))</f>
        <v/>
      </c>
    </row>
    <row r="8" ht="15" customHeight="1" s="20">
      <c r="A8" s="33" t="inlineStr">
        <is>
          <t>batch-128</t>
        </is>
      </c>
      <c r="B8" s="33" t="inlineStr">
        <is>
          <t>hparam</t>
        </is>
      </c>
      <c r="C8" s="33" t="inlineStr">
        <is>
          <t>Batch size nhỏ (128 mẫu)</t>
        </is>
      </c>
      <c r="D8" s="33" t="inlineStr">
        <is>
          <t>CE</t>
        </is>
      </c>
      <c r="E8" s="33" t="inlineStr">
        <is>
          <t>sgd_momentum</t>
        </is>
      </c>
      <c r="F8" s="33" t="n">
        <v>0.05</v>
      </c>
      <c r="G8" s="33" t="n">
        <v>0</v>
      </c>
      <c r="H8" s="33" t="n">
        <v>128</v>
      </c>
      <c r="I8" s="33" t="n">
        <v>20</v>
      </c>
      <c r="J8" s="33" t="inlineStr">
        <is>
          <t>[256, 128]</t>
        </is>
      </c>
      <c r="K8" s="33" t="n">
        <v>0</v>
      </c>
      <c r="L8" s="33" t="n"/>
      <c r="M8" s="33" t="inlineStr">
        <is>
          <t>FP32</t>
        </is>
      </c>
      <c r="N8" s="33" t="inlineStr">
        <is>
          <t>he</t>
        </is>
      </c>
      <c r="O8" s="33" t="n">
        <v>1</v>
      </c>
      <c r="P8" s="34" t="n">
        <v>2.269082259332679</v>
      </c>
      <c r="Q8" s="34" t="n">
        <v>0.2170232411249018</v>
      </c>
      <c r="R8" s="33" t="n">
        <v>20</v>
      </c>
      <c r="S8" s="34" t="n">
        <v>0.1886919180822372</v>
      </c>
      <c r="T8" s="34" t="n">
        <v>0.2170232411249018</v>
      </c>
      <c r="U8" s="34" t="n">
        <v>0.9143413305282593</v>
      </c>
      <c r="V8" s="34" t="n">
        <v>0.8588078905983573</v>
      </c>
      <c r="W8" s="33" t="n">
        <v>5.534926814998471</v>
      </c>
      <c r="X8" s="33" t="n">
        <v>0</v>
      </c>
      <c r="Y8" s="33" t="inlineStr">
        <is>
          <t>Không</t>
        </is>
      </c>
      <c r="Z8" s="34" t="inlineStr"/>
      <c r="AA8" s="34" t="inlineStr"/>
      <c r="AB8" s="33" t="inlineStr">
        <is>
          <t>figures/batch-128.png</t>
        </is>
      </c>
      <c r="AC8" s="33" t="inlineStr"/>
      <c r="AD8" s="35">
        <f>IF(P8="","",P8-LN(7))</f>
        <v/>
      </c>
      <c r="AE8" s="35">
        <f>IF(OR(T8="",S8=""),"",T8-S8)</f>
        <v/>
      </c>
      <c r="AF8" s="35">
        <f>IF(OR(V8="",Seeds!$C$8=""),"",V8-Seeds!$C$8)</f>
        <v/>
      </c>
      <c r="AG8" s="35">
        <f>IF(OR(AF8="",Seeds!$C$10=""),"",IF(ABS(AF8)&gt;Seeds!$C$10,"Có","Không"))</f>
        <v/>
      </c>
    </row>
    <row r="9" ht="15" customHeight="1" s="20">
      <c r="A9" s="33" t="inlineStr">
        <is>
          <t>batch-2048</t>
        </is>
      </c>
      <c r="B9" s="33" t="inlineStr">
        <is>
          <t>hparam</t>
        </is>
      </c>
      <c r="C9" s="33" t="inlineStr">
        <is>
          <t>Batch size lớn (2048 mẫu)</t>
        </is>
      </c>
      <c r="D9" s="33" t="inlineStr">
        <is>
          <t>CE</t>
        </is>
      </c>
      <c r="E9" s="33" t="inlineStr">
        <is>
          <t>sgd_momentum</t>
        </is>
      </c>
      <c r="F9" s="33" t="n">
        <v>0.05</v>
      </c>
      <c r="G9" s="33" t="n">
        <v>0</v>
      </c>
      <c r="H9" s="33" t="n">
        <v>2048</v>
      </c>
      <c r="I9" s="33" t="n">
        <v>20</v>
      </c>
      <c r="J9" s="33" t="inlineStr">
        <is>
          <t>[256, 128]</t>
        </is>
      </c>
      <c r="K9" s="33" t="n">
        <v>0</v>
      </c>
      <c r="L9" s="33" t="n"/>
      <c r="M9" s="33" t="inlineStr">
        <is>
          <t>FP32</t>
        </is>
      </c>
      <c r="N9" s="33" t="inlineStr">
        <is>
          <t>he</t>
        </is>
      </c>
      <c r="O9" s="33" t="n">
        <v>1</v>
      </c>
      <c r="P9" s="34" t="n">
        <v>2.269082259332679</v>
      </c>
      <c r="Q9" s="34" t="n">
        <v>0.308448331319271</v>
      </c>
      <c r="R9" s="33" t="n">
        <v>20</v>
      </c>
      <c r="S9" s="34" t="n">
        <v>0.297351970615387</v>
      </c>
      <c r="T9" s="34" t="n">
        <v>0.308448331319271</v>
      </c>
      <c r="U9" s="34" t="n">
        <v>0.8748520612716675</v>
      </c>
      <c r="V9" s="34" t="n">
        <v>0.7789826388594021</v>
      </c>
      <c r="W9" s="33" t="n">
        <v>1.531277219998447</v>
      </c>
      <c r="X9" s="33" t="n">
        <v>0</v>
      </c>
      <c r="Y9" s="33" t="inlineStr">
        <is>
          <t>Không</t>
        </is>
      </c>
      <c r="Z9" s="34" t="inlineStr"/>
      <c r="AA9" s="34" t="inlineStr"/>
      <c r="AB9" s="33" t="inlineStr">
        <is>
          <t>figures/batch-2048.png</t>
        </is>
      </c>
      <c r="AC9" s="33" t="inlineStr"/>
      <c r="AD9" s="35">
        <f>IF(P9="","",P9-LN(7))</f>
        <v/>
      </c>
      <c r="AE9" s="35">
        <f>IF(OR(T9="",S9=""),"",T9-S9)</f>
        <v/>
      </c>
      <c r="AF9" s="35">
        <f>IF(OR(V9="",Seeds!$C$8=""),"",V9-Seeds!$C$8)</f>
        <v/>
      </c>
      <c r="AG9" s="35">
        <f>IF(OR(AF9="",Seeds!$C$10=""),"",IF(ABS(AF9)&gt;Seeds!$C$10,"Có","Không"))</f>
        <v/>
      </c>
    </row>
    <row r="10" ht="15" customHeight="1" s="20">
      <c r="A10" s="33" t="inlineStr">
        <is>
          <t>clip-1.0</t>
        </is>
      </c>
      <c r="B10" s="33" t="inlineStr">
        <is>
          <t>clipping</t>
        </is>
      </c>
      <c r="C10" s="33" t="inlineStr">
        <is>
          <t>Clip gradient max_norm=1.0 ở lr thường</t>
        </is>
      </c>
      <c r="D10" s="33" t="inlineStr">
        <is>
          <t>CE</t>
        </is>
      </c>
      <c r="E10" s="33" t="inlineStr">
        <is>
          <t>sgd_momentum</t>
        </is>
      </c>
      <c r="F10" s="33" t="n">
        <v>0.05</v>
      </c>
      <c r="G10" s="33" t="n">
        <v>0</v>
      </c>
      <c r="H10" s="33" t="n">
        <v>512</v>
      </c>
      <c r="I10" s="33" t="n">
        <v>20</v>
      </c>
      <c r="J10" s="33" t="inlineStr">
        <is>
          <t>[256, 128]</t>
        </is>
      </c>
      <c r="K10" s="33" t="n">
        <v>0</v>
      </c>
      <c r="L10" s="33" t="n">
        <v>1</v>
      </c>
      <c r="M10" s="33" t="inlineStr">
        <is>
          <t>FP32</t>
        </is>
      </c>
      <c r="N10" s="33" t="inlineStr">
        <is>
          <t>he</t>
        </is>
      </c>
      <c r="O10" s="33" t="n">
        <v>1</v>
      </c>
      <c r="P10" s="34" t="n">
        <v>2.269082259332679</v>
      </c>
      <c r="Q10" s="34" t="n">
        <v>0.258069918556967</v>
      </c>
      <c r="R10" s="33" t="n">
        <v>17</v>
      </c>
      <c r="S10" s="34" t="n">
        <v>0.2359638947105408</v>
      </c>
      <c r="T10" s="34" t="n">
        <v>0.2595129401842664</v>
      </c>
      <c r="U10" s="34" t="n">
        <v>0.8955702185630798</v>
      </c>
      <c r="V10" s="34" t="n">
        <v>0.8371057163779725</v>
      </c>
      <c r="W10" s="33" t="n">
        <v>2.783886379998876</v>
      </c>
      <c r="X10" s="33" t="n">
        <v>0</v>
      </c>
      <c r="Y10" s="33" t="inlineStr">
        <is>
          <t>Không</t>
        </is>
      </c>
      <c r="Z10" s="34" t="inlineStr"/>
      <c r="AA10" s="34" t="inlineStr"/>
      <c r="AB10" s="33" t="inlineStr">
        <is>
          <t>figures/clip-1.0.png</t>
        </is>
      </c>
      <c r="AC10" s="33" t="inlineStr"/>
      <c r="AD10" s="35">
        <f>IF(P10="","",P10-LN(7))</f>
        <v/>
      </c>
      <c r="AE10" s="35">
        <f>IF(OR(T10="",S10=""),"",T10-S10)</f>
        <v/>
      </c>
      <c r="AF10" s="35">
        <f>IF(OR(V10="",Seeds!$C$8=""),"",V10-Seeds!$C$8)</f>
        <v/>
      </c>
      <c r="AG10" s="35">
        <f>IF(OR(AF10="",Seeds!$C$10=""),"",IF(ABS(AF10)&gt;Seeds!$C$10,"Có","Không"))</f>
        <v/>
      </c>
    </row>
    <row r="11" ht="15" customHeight="1" s="20">
      <c r="A11" s="33" t="inlineStr">
        <is>
          <t>clip-highlr</t>
        </is>
      </c>
      <c r="B11" s="33" t="inlineStr">
        <is>
          <t>clipping</t>
        </is>
      </c>
      <c r="C11" s="33" t="inlineStr">
        <is>
          <t>Learning rate rất cao (1.0) CÓ clip (kiểm chứng cứu cánh)</t>
        </is>
      </c>
      <c r="D11" s="33" t="inlineStr">
        <is>
          <t>CE</t>
        </is>
      </c>
      <c r="E11" s="33" t="inlineStr">
        <is>
          <t>sgd_momentum</t>
        </is>
      </c>
      <c r="F11" s="33" t="n">
        <v>1</v>
      </c>
      <c r="G11" s="33" t="n">
        <v>0</v>
      </c>
      <c r="H11" s="33" t="n">
        <v>512</v>
      </c>
      <c r="I11" s="33" t="n">
        <v>20</v>
      </c>
      <c r="J11" s="33" t="inlineStr">
        <is>
          <t>[256, 128]</t>
        </is>
      </c>
      <c r="K11" s="33" t="n">
        <v>0</v>
      </c>
      <c r="L11" s="33" t="n">
        <v>1</v>
      </c>
      <c r="M11" s="33" t="inlineStr">
        <is>
          <t>FP32</t>
        </is>
      </c>
      <c r="N11" s="33" t="inlineStr">
        <is>
          <t>he</t>
        </is>
      </c>
      <c r="O11" s="33" t="n">
        <v>1</v>
      </c>
      <c r="P11" s="34" t="n">
        <v>2.269082259332679</v>
      </c>
      <c r="Q11" s="34" t="n">
        <v>0.3162384563619192</v>
      </c>
      <c r="R11" s="33" t="n">
        <v>16</v>
      </c>
      <c r="S11" s="34" t="n">
        <v>0.3236744123744965</v>
      </c>
      <c r="T11" s="34" t="n">
        <v>0.345859428543465</v>
      </c>
      <c r="U11" s="34" t="n">
        <v>0.878089964389801</v>
      </c>
      <c r="V11" s="34" t="n">
        <v>0.7963026212367499</v>
      </c>
      <c r="W11" s="33" t="n">
        <v>3.292079709999234</v>
      </c>
      <c r="X11" s="33" t="n">
        <v>0</v>
      </c>
      <c r="Y11" s="33" t="inlineStr">
        <is>
          <t>Không</t>
        </is>
      </c>
      <c r="Z11" s="34" t="inlineStr"/>
      <c r="AA11" s="34" t="inlineStr"/>
      <c r="AB11" s="33" t="inlineStr">
        <is>
          <t>figures/clip-highlr.png</t>
        </is>
      </c>
      <c r="AC11" s="33" t="inlineStr"/>
      <c r="AD11" s="35">
        <f>IF(P11="","",P11-LN(7))</f>
        <v/>
      </c>
      <c r="AE11" s="35">
        <f>IF(OR(T11="",S11=""),"",T11-S11)</f>
        <v/>
      </c>
      <c r="AF11" s="35">
        <f>IF(OR(V11="",Seeds!$C$8=""),"",V11-Seeds!$C$8)</f>
        <v/>
      </c>
      <c r="AG11" s="35">
        <f>IF(OR(AF11="",Seeds!$C$10=""),"",IF(ABS(AF11)&gt;Seeds!$C$10,"Có","Không"))</f>
        <v/>
      </c>
    </row>
    <row r="12" ht="15" customHeight="1" s="20">
      <c r="A12" s="33" t="inlineStr">
        <is>
          <t>drop-0.1</t>
        </is>
      </c>
      <c r="B12" s="33" t="inlineStr">
        <is>
          <t>dropout</t>
        </is>
      </c>
      <c r="C12" s="33" t="inlineStr">
        <is>
          <t>Dropout rate q=0.1 sau ReLU</t>
        </is>
      </c>
      <c r="D12" s="33" t="inlineStr">
        <is>
          <t>CE</t>
        </is>
      </c>
      <c r="E12" s="33" t="inlineStr">
        <is>
          <t>sgd_momentum</t>
        </is>
      </c>
      <c r="F12" s="33" t="n">
        <v>0.05</v>
      </c>
      <c r="G12" s="33" t="n">
        <v>0</v>
      </c>
      <c r="H12" s="33" t="n">
        <v>512</v>
      </c>
      <c r="I12" s="33" t="n">
        <v>20</v>
      </c>
      <c r="J12" s="33" t="inlineStr">
        <is>
          <t>[256, 128]</t>
        </is>
      </c>
      <c r="K12" s="33" t="n">
        <v>0.1</v>
      </c>
      <c r="L12" s="33" t="n"/>
      <c r="M12" s="33" t="inlineStr">
        <is>
          <t>FP32</t>
        </is>
      </c>
      <c r="N12" s="33" t="inlineStr">
        <is>
          <t>he</t>
        </is>
      </c>
      <c r="O12" s="33" t="n">
        <v>1</v>
      </c>
      <c r="P12" s="34" t="n">
        <v>2.269082259332679</v>
      </c>
      <c r="Q12" s="34" t="n">
        <v>0.2690233695608611</v>
      </c>
      <c r="R12" s="33" t="n">
        <v>20</v>
      </c>
      <c r="S12" s="34" t="n">
        <v>0.2606228719425202</v>
      </c>
      <c r="T12" s="34" t="n">
        <v>0.2690233695608611</v>
      </c>
      <c r="U12" s="34" t="n">
        <v>0.8929670453071594</v>
      </c>
      <c r="V12" s="34" t="n">
        <v>0.8220018270517476</v>
      </c>
      <c r="W12" s="33" t="n">
        <v>7.474827555000957</v>
      </c>
      <c r="X12" s="33" t="n">
        <v>0</v>
      </c>
      <c r="Y12" s="33" t="inlineStr">
        <is>
          <t>Không</t>
        </is>
      </c>
      <c r="Z12" s="34" t="inlineStr"/>
      <c r="AA12" s="34" t="inlineStr"/>
      <c r="AB12" s="33" t="inlineStr">
        <is>
          <t>figures/drop-0.1.png</t>
        </is>
      </c>
      <c r="AC12" s="33" t="inlineStr"/>
      <c r="AD12" s="35">
        <f>IF(P12="","",P12-LN(7))</f>
        <v/>
      </c>
      <c r="AE12" s="35">
        <f>IF(OR(T12="",S12=""),"",T12-S12)</f>
        <v/>
      </c>
      <c r="AF12" s="35">
        <f>IF(OR(V12="",Seeds!$C$8=""),"",V12-Seeds!$C$8)</f>
        <v/>
      </c>
      <c r="AG12" s="35">
        <f>IF(OR(AF12="",Seeds!$C$10=""),"",IF(ABS(AF12)&gt;Seeds!$C$10,"Có","Không"))</f>
        <v/>
      </c>
    </row>
    <row r="13" ht="15" customHeight="1" s="20">
      <c r="A13" s="33" t="inlineStr">
        <is>
          <t>drop-0.3</t>
        </is>
      </c>
      <c r="B13" s="33" t="inlineStr">
        <is>
          <t>dropout</t>
        </is>
      </c>
      <c r="C13" s="33" t="inlineStr">
        <is>
          <t>Dropout rate q=0.3 sau ReLU</t>
        </is>
      </c>
      <c r="D13" s="33" t="inlineStr">
        <is>
          <t>CE</t>
        </is>
      </c>
      <c r="E13" s="33" t="inlineStr">
        <is>
          <t>sgd_momentum</t>
        </is>
      </c>
      <c r="F13" s="33" t="n">
        <v>0.05</v>
      </c>
      <c r="G13" s="33" t="n">
        <v>0</v>
      </c>
      <c r="H13" s="33" t="n">
        <v>512</v>
      </c>
      <c r="I13" s="33" t="n">
        <v>20</v>
      </c>
      <c r="J13" s="33" t="inlineStr">
        <is>
          <t>[256, 128]</t>
        </is>
      </c>
      <c r="K13" s="33" t="n">
        <v>0.3</v>
      </c>
      <c r="L13" s="33" t="n"/>
      <c r="M13" s="33" t="inlineStr">
        <is>
          <t>FP32</t>
        </is>
      </c>
      <c r="N13" s="33" t="inlineStr">
        <is>
          <t>he</t>
        </is>
      </c>
      <c r="O13" s="33" t="n">
        <v>1</v>
      </c>
      <c r="P13" s="34" t="n">
        <v>2.269082259332679</v>
      </c>
      <c r="Q13" s="34" t="n">
        <v>0.3402131783348263</v>
      </c>
      <c r="R13" s="33" t="n">
        <v>20</v>
      </c>
      <c r="S13" s="34" t="n">
        <v>0.3372650683403015</v>
      </c>
      <c r="T13" s="34" t="n">
        <v>0.3402131783348263</v>
      </c>
      <c r="U13" s="34" t="n">
        <v>0.8597814440727234</v>
      </c>
      <c r="V13" s="34" t="n">
        <v>0.7570287169845035</v>
      </c>
      <c r="W13" s="33" t="n">
        <v>7.092179364999174</v>
      </c>
      <c r="X13" s="33" t="n">
        <v>0</v>
      </c>
      <c r="Y13" s="33" t="inlineStr">
        <is>
          <t>Không</t>
        </is>
      </c>
      <c r="Z13" s="34" t="inlineStr"/>
      <c r="AA13" s="34" t="inlineStr"/>
      <c r="AB13" s="33" t="inlineStr">
        <is>
          <t>figures/drop-0.3.png</t>
        </is>
      </c>
      <c r="AC13" s="33" t="inlineStr"/>
      <c r="AD13" s="35">
        <f>IF(P13="","",P13-LN(7))</f>
        <v/>
      </c>
      <c r="AE13" s="35">
        <f>IF(OR(T13="",S13=""),"",T13-S13)</f>
        <v/>
      </c>
      <c r="AF13" s="35">
        <f>IF(OR(V13="",Seeds!$C$8=""),"",V13-Seeds!$C$8)</f>
        <v/>
      </c>
      <c r="AG13" s="35">
        <f>IF(OR(AF13="",Seeds!$C$10=""),"",IF(ABS(AF13)&gt;Seeds!$C$10,"Có","Không"))</f>
        <v/>
      </c>
    </row>
    <row r="14" ht="15" customHeight="1" s="20">
      <c r="A14" s="33" t="inlineStr">
        <is>
          <t>init-normal</t>
        </is>
      </c>
      <c r="B14" s="33" t="inlineStr">
        <is>
          <t>init</t>
        </is>
      </c>
      <c r="C14" s="33" t="inlineStr">
        <is>
          <t>Khởi tạo Normal (std=0.01)</t>
        </is>
      </c>
      <c r="D14" s="33" t="inlineStr">
        <is>
          <t>CE</t>
        </is>
      </c>
      <c r="E14" s="33" t="inlineStr">
        <is>
          <t>sgd_momentum</t>
        </is>
      </c>
      <c r="F14" s="33" t="n">
        <v>0.05</v>
      </c>
      <c r="G14" s="33" t="n">
        <v>0</v>
      </c>
      <c r="H14" s="33" t="n">
        <v>512</v>
      </c>
      <c r="I14" s="33" t="n">
        <v>20</v>
      </c>
      <c r="J14" s="33" t="inlineStr">
        <is>
          <t>[256, 128]</t>
        </is>
      </c>
      <c r="K14" s="33" t="n">
        <v>0</v>
      </c>
      <c r="L14" s="33" t="n"/>
      <c r="M14" s="33" t="inlineStr">
        <is>
          <t>FP32</t>
        </is>
      </c>
      <c r="N14" s="33" t="inlineStr">
        <is>
          <t>normal</t>
        </is>
      </c>
      <c r="O14" s="33" t="n">
        <v>1</v>
      </c>
      <c r="P14" s="34" t="n">
        <v>1.945995646913543</v>
      </c>
      <c r="Q14" s="34" t="n">
        <v>0.2790365446661793</v>
      </c>
      <c r="R14" s="33" t="n">
        <v>20</v>
      </c>
      <c r="S14" s="34" t="n">
        <v>0.2616231880998611</v>
      </c>
      <c r="T14" s="34" t="n">
        <v>0.2790365446661793</v>
      </c>
      <c r="U14" s="34" t="n">
        <v>0.8866848945617676</v>
      </c>
      <c r="V14" s="34" t="n">
        <v>0.8230980147708874</v>
      </c>
      <c r="W14" s="33" t="n">
        <v>1.789658124998095</v>
      </c>
      <c r="X14" s="33" t="n">
        <v>0</v>
      </c>
      <c r="Y14" s="33" t="inlineStr">
        <is>
          <t>Không</t>
        </is>
      </c>
      <c r="Z14" s="34" t="inlineStr"/>
      <c r="AA14" s="34" t="inlineStr"/>
      <c r="AB14" s="33" t="inlineStr">
        <is>
          <t>figures/init-normal.png</t>
        </is>
      </c>
      <c r="AC14" s="33" t="inlineStr"/>
      <c r="AD14" s="35">
        <f>IF(P14="","",P14-LN(7))</f>
        <v/>
      </c>
      <c r="AE14" s="35">
        <f>IF(OR(T14="",S14=""),"",T14-S14)</f>
        <v/>
      </c>
      <c r="AF14" s="35">
        <f>IF(OR(V14="",Seeds!$C$8=""),"",V14-Seeds!$C$8)</f>
        <v/>
      </c>
      <c r="AG14" s="35">
        <f>IF(OR(AF14="",Seeds!$C$10=""),"",IF(ABS(AF14)&gt;Seeds!$C$10,"Có","Không"))</f>
        <v/>
      </c>
    </row>
    <row r="15" ht="15" customHeight="1" s="20">
      <c r="A15" s="33" t="inlineStr">
        <is>
          <t>init-xavier</t>
        </is>
      </c>
      <c r="B15" s="33" t="inlineStr">
        <is>
          <t>init</t>
        </is>
      </c>
      <c r="C15" s="33" t="inlineStr">
        <is>
          <t>Khởi tạo Xavier Normal</t>
        </is>
      </c>
      <c r="D15" s="33" t="inlineStr">
        <is>
          <t>CE</t>
        </is>
      </c>
      <c r="E15" s="33" t="inlineStr">
        <is>
          <t>sgd_momentum</t>
        </is>
      </c>
      <c r="F15" s="33" t="n">
        <v>0.05</v>
      </c>
      <c r="G15" s="33" t="n">
        <v>0</v>
      </c>
      <c r="H15" s="33" t="n">
        <v>512</v>
      </c>
      <c r="I15" s="33" t="n">
        <v>20</v>
      </c>
      <c r="J15" s="33" t="inlineStr">
        <is>
          <t>[256, 128]</t>
        </is>
      </c>
      <c r="K15" s="33" t="n">
        <v>0</v>
      </c>
      <c r="L15" s="33" t="n"/>
      <c r="M15" s="33" t="inlineStr">
        <is>
          <t>FP32</t>
        </is>
      </c>
      <c r="N15" s="33" t="inlineStr">
        <is>
          <t>xavier</t>
        </is>
      </c>
      <c r="O15" s="33" t="n">
        <v>1</v>
      </c>
      <c r="P15" s="34" t="n">
        <v>2.022180127722064</v>
      </c>
      <c r="Q15" s="34" t="n">
        <v>0.2507449796199747</v>
      </c>
      <c r="R15" s="33" t="n">
        <v>20</v>
      </c>
      <c r="S15" s="34" t="n">
        <v>0.2301728762769699</v>
      </c>
      <c r="T15" s="34" t="n">
        <v>0.2507449796199747</v>
      </c>
      <c r="U15" s="34" t="n">
        <v>0.898915708065033</v>
      </c>
      <c r="V15" s="34" t="n">
        <v>0.8401576859051201</v>
      </c>
      <c r="W15" s="33" t="n">
        <v>1.881744689999323</v>
      </c>
      <c r="X15" s="33" t="n">
        <v>0</v>
      </c>
      <c r="Y15" s="33" t="inlineStr">
        <is>
          <t>Không</t>
        </is>
      </c>
      <c r="Z15" s="34" t="inlineStr"/>
      <c r="AA15" s="34" t="inlineStr"/>
      <c r="AB15" s="33" t="inlineStr">
        <is>
          <t>figures/init-xavier.png</t>
        </is>
      </c>
      <c r="AC15" s="33" t="inlineStr"/>
      <c r="AD15" s="35">
        <f>IF(P15="","",P15-LN(7))</f>
        <v/>
      </c>
      <c r="AE15" s="35">
        <f>IF(OR(T15="",S15=""),"",T15-S15)</f>
        <v/>
      </c>
      <c r="AF15" s="35">
        <f>IF(OR(V15="",Seeds!$C$8=""),"",V15-Seeds!$C$8)</f>
        <v/>
      </c>
      <c r="AG15" s="35">
        <f>IF(OR(AF15="",Seeds!$C$10=""),"",IF(ABS(AF15)&gt;Seeds!$C$10,"Có","Không"))</f>
        <v/>
      </c>
    </row>
    <row r="16" ht="15" customHeight="1" s="20">
      <c r="A16" s="33" t="inlineStr">
        <is>
          <t>init-zeros</t>
        </is>
      </c>
      <c r="B16" s="33" t="inlineStr">
        <is>
          <t>init</t>
        </is>
      </c>
      <c r="C16" s="33" t="inlineStr">
        <is>
          <t>Khởi tạo toàn bộ số 0</t>
        </is>
      </c>
      <c r="D16" s="33" t="inlineStr">
        <is>
          <t>CE</t>
        </is>
      </c>
      <c r="E16" s="33" t="inlineStr">
        <is>
          <t>sgd_momentum</t>
        </is>
      </c>
      <c r="F16" s="33" t="n">
        <v>0.05</v>
      </c>
      <c r="G16" s="33" t="n">
        <v>0</v>
      </c>
      <c r="H16" s="33" t="n">
        <v>512</v>
      </c>
      <c r="I16" s="33" t="n">
        <v>20</v>
      </c>
      <c r="J16" s="33" t="inlineStr">
        <is>
          <t>[256, 128]</t>
        </is>
      </c>
      <c r="K16" s="33" t="n">
        <v>0</v>
      </c>
      <c r="L16" s="33" t="n"/>
      <c r="M16" s="33" t="inlineStr">
        <is>
          <t>FP32</t>
        </is>
      </c>
      <c r="N16" s="33" t="inlineStr">
        <is>
          <t>zeros</t>
        </is>
      </c>
      <c r="O16" s="33" t="n">
        <v>1</v>
      </c>
      <c r="P16" s="34" t="n">
        <v>1.94590961933136</v>
      </c>
      <c r="Q16" s="34" t="n">
        <v>1.20518038173399</v>
      </c>
      <c r="R16" s="33" t="n">
        <v>16</v>
      </c>
      <c r="S16" s="34" t="n">
        <v>1.202019729614258</v>
      </c>
      <c r="T16" s="34" t="n">
        <v>1.205405080239715</v>
      </c>
      <c r="U16" s="34" t="n">
        <v>0.4875970780849457</v>
      </c>
      <c r="V16" s="34" t="n">
        <v>0.09364999018625454</v>
      </c>
      <c r="W16" s="33" t="n">
        <v>1.925922039998841</v>
      </c>
      <c r="X16" s="33" t="n">
        <v>0</v>
      </c>
      <c r="Y16" s="33" t="inlineStr">
        <is>
          <t>Không</t>
        </is>
      </c>
      <c r="Z16" s="34" t="inlineStr"/>
      <c r="AA16" s="34" t="inlineStr"/>
      <c r="AB16" s="33" t="inlineStr">
        <is>
          <t>figures/init-zeros.png</t>
        </is>
      </c>
      <c r="AC16" s="33" t="inlineStr"/>
      <c r="AD16" s="35">
        <f>IF(P16="","",P16-LN(7))</f>
        <v/>
      </c>
      <c r="AE16" s="35">
        <f>IF(OR(T16="",S16=""),"",T16-S16)</f>
        <v/>
      </c>
      <c r="AF16" s="35">
        <f>IF(OR(V16="",Seeds!$C$8=""),"",V16-Seeds!$C$8)</f>
        <v/>
      </c>
      <c r="AG16" s="35">
        <f>IF(OR(AF16="",Seeds!$C$10=""),"",IF(ABS(AF16)&gt;Seeds!$C$10,"Có","Không"))</f>
        <v/>
      </c>
    </row>
    <row r="17" ht="15" customHeight="1" s="20">
      <c r="A17" s="33" t="inlineStr">
        <is>
          <t>loss-mse</t>
        </is>
      </c>
      <c r="B17" s="33" t="inlineStr">
        <is>
          <t>loss</t>
        </is>
      </c>
      <c r="C17" s="33" t="inlineStr">
        <is>
          <t>Thí nghiệm Loss: MSE thay cho Cross-Entropy</t>
        </is>
      </c>
      <c r="D17" s="33" t="inlineStr">
        <is>
          <t>MSE</t>
        </is>
      </c>
      <c r="E17" s="33" t="inlineStr">
        <is>
          <t>sgd_momentum</t>
        </is>
      </c>
      <c r="F17" s="33" t="n">
        <v>0.05</v>
      </c>
      <c r="G17" s="33" t="n">
        <v>0</v>
      </c>
      <c r="H17" s="33" t="n">
        <v>512</v>
      </c>
      <c r="I17" s="33" t="n">
        <v>20</v>
      </c>
      <c r="J17" s="33" t="inlineStr">
        <is>
          <t>[256, 128]</t>
        </is>
      </c>
      <c r="K17" s="33" t="n">
        <v>0</v>
      </c>
      <c r="L17" s="33" t="n"/>
      <c r="M17" s="33" t="inlineStr">
        <is>
          <t>FP32</t>
        </is>
      </c>
      <c r="N17" s="33" t="inlineStr">
        <is>
          <t>he</t>
        </is>
      </c>
      <c r="O17" s="33" t="n">
        <v>1</v>
      </c>
      <c r="P17" s="34" t="n">
        <v>0.6358698182471128</v>
      </c>
      <c r="Q17" s="34" t="n">
        <v>0.03236300314134566</v>
      </c>
      <c r="R17" s="33" t="n">
        <v>20</v>
      </c>
      <c r="S17" s="34" t="n">
        <v>0.0316792010486126</v>
      </c>
      <c r="T17" s="34" t="n">
        <v>0.03236300314134566</v>
      </c>
      <c r="U17" s="34" t="n">
        <v>0.8553387522697449</v>
      </c>
      <c r="V17" s="34" t="n">
        <v>0.6844763610549832</v>
      </c>
      <c r="W17" s="33" t="n">
        <v>1.851881564998621</v>
      </c>
      <c r="X17" s="33" t="n">
        <v>0</v>
      </c>
      <c r="Y17" s="33" t="inlineStr">
        <is>
          <t>Không</t>
        </is>
      </c>
      <c r="Z17" s="34" t="inlineStr"/>
      <c r="AA17" s="34" t="inlineStr"/>
      <c r="AB17" s="33" t="inlineStr">
        <is>
          <t>figures/loss-mse.png</t>
        </is>
      </c>
      <c r="AC17" s="33" t="inlineStr"/>
      <c r="AD17" s="35">
        <f>IF(P17="","",P17-LN(7))</f>
        <v/>
      </c>
      <c r="AE17" s="35">
        <f>IF(OR(T17="",S17=""),"",T17-S17)</f>
        <v/>
      </c>
      <c r="AF17" s="35">
        <f>IF(OR(V17="",Seeds!$C$8=""),"",V17-Seeds!$C$8)</f>
        <v/>
      </c>
      <c r="AG17" s="35">
        <f>IF(OR(AF17="",Seeds!$C$10=""),"",IF(ABS(AF17)&gt;Seeds!$C$10,"Có","Không"))</f>
        <v/>
      </c>
    </row>
    <row r="18" ht="15" customHeight="1" s="20">
      <c r="A18" s="33" t="inlineStr">
        <is>
          <t>noclip-highlr</t>
        </is>
      </c>
      <c r="B18" s="33" t="inlineStr">
        <is>
          <t>clipping</t>
        </is>
      </c>
      <c r="C18" s="33" t="inlineStr">
        <is>
          <t>Learning rate rất cao (1.0) KHÔNG clip (đối chứng)</t>
        </is>
      </c>
      <c r="D18" s="33" t="inlineStr">
        <is>
          <t>CE</t>
        </is>
      </c>
      <c r="E18" s="33" t="inlineStr">
        <is>
          <t>sgd_momentum</t>
        </is>
      </c>
      <c r="F18" s="33" t="n">
        <v>1</v>
      </c>
      <c r="G18" s="33" t="n">
        <v>0</v>
      </c>
      <c r="H18" s="33" t="n">
        <v>512</v>
      </c>
      <c r="I18" s="33" t="n">
        <v>20</v>
      </c>
      <c r="J18" s="33" t="inlineStr">
        <is>
          <t>[256, 128]</t>
        </is>
      </c>
      <c r="K18" s="33" t="n">
        <v>0</v>
      </c>
      <c r="L18" s="33" t="n"/>
      <c r="M18" s="33" t="inlineStr">
        <is>
          <t>FP32</t>
        </is>
      </c>
      <c r="N18" s="33" t="inlineStr">
        <is>
          <t>he</t>
        </is>
      </c>
      <c r="O18" s="33" t="n">
        <v>1</v>
      </c>
      <c r="P18" s="34" t="n">
        <v>2.269082259332679</v>
      </c>
      <c r="Q18" s="34" t="n">
        <v>0.366224920838659</v>
      </c>
      <c r="R18" s="33" t="n">
        <v>19</v>
      </c>
      <c r="S18" s="34" t="n">
        <v>0.3633283437347412</v>
      </c>
      <c r="T18" s="34" t="n">
        <v>0.3784628200750543</v>
      </c>
      <c r="U18" s="34" t="n">
        <v>0.8522406816482544</v>
      </c>
      <c r="V18" s="34" t="n">
        <v>0.6231155099301151</v>
      </c>
      <c r="W18" s="33" t="n">
        <v>3.143255089998275</v>
      </c>
      <c r="X18" s="33" t="n">
        <v>0</v>
      </c>
      <c r="Y18" s="33" t="inlineStr">
        <is>
          <t>Không</t>
        </is>
      </c>
      <c r="Z18" s="34" t="inlineStr"/>
      <c r="AA18" s="34" t="inlineStr"/>
      <c r="AB18" s="33" t="inlineStr">
        <is>
          <t>figures/noclip-highlr.png</t>
        </is>
      </c>
      <c r="AC18" s="33" t="inlineStr"/>
      <c r="AD18" s="35">
        <f>IF(P18="","",P18-LN(7))</f>
        <v/>
      </c>
      <c r="AE18" s="35">
        <f>IF(OR(T18="",S18=""),"",T18-S18)</f>
        <v/>
      </c>
      <c r="AF18" s="35">
        <f>IF(OR(V18="",Seeds!$C$8=""),"",V18-Seeds!$C$8)</f>
        <v/>
      </c>
      <c r="AG18" s="35">
        <f>IF(OR(AF18="",Seeds!$C$10=""),"",IF(ABS(AF18)&gt;Seeds!$C$10,"Có","Không"))</f>
        <v/>
      </c>
    </row>
    <row r="19" ht="15" customHeight="1" s="20">
      <c r="A19" s="33" t="inlineStr">
        <is>
          <t>opt-adam-lr1e-3</t>
        </is>
      </c>
      <c r="B19" s="33" t="inlineStr">
        <is>
          <t>optimizer</t>
        </is>
      </c>
      <c r="C19" s="33" t="inlineStr">
        <is>
          <t>Adam (lr=1e-3)</t>
        </is>
      </c>
      <c r="D19" s="33" t="inlineStr">
        <is>
          <t>CE</t>
        </is>
      </c>
      <c r="E19" s="33" t="inlineStr">
        <is>
          <t>adam</t>
        </is>
      </c>
      <c r="F19" s="33" t="n">
        <v>0.001</v>
      </c>
      <c r="G19" s="33" t="n">
        <v>0</v>
      </c>
      <c r="H19" s="33" t="n">
        <v>512</v>
      </c>
      <c r="I19" s="33" t="n">
        <v>20</v>
      </c>
      <c r="J19" s="33" t="inlineStr">
        <is>
          <t>[256, 128]</t>
        </is>
      </c>
      <c r="K19" s="33" t="n">
        <v>0</v>
      </c>
      <c r="L19" s="33" t="n"/>
      <c r="M19" s="33" t="inlineStr">
        <is>
          <t>FP32</t>
        </is>
      </c>
      <c r="N19" s="33" t="inlineStr">
        <is>
          <t>he</t>
        </is>
      </c>
      <c r="O19" s="33" t="n">
        <v>1</v>
      </c>
      <c r="P19" s="34" t="n">
        <v>2.269082259332679</v>
      </c>
      <c r="Q19" s="34" t="n">
        <v>0.2413955906983541</v>
      </c>
      <c r="R19" s="33" t="n">
        <v>18</v>
      </c>
      <c r="S19" s="34" t="n">
        <v>0.2252693617677688</v>
      </c>
      <c r="T19" s="34" t="n">
        <v>0.2458293138786842</v>
      </c>
      <c r="U19" s="34" t="n">
        <v>0.9024009704589844</v>
      </c>
      <c r="V19" s="34" t="n">
        <v>0.8458640105282643</v>
      </c>
      <c r="W19" s="33" t="n">
        <v>3.170160155001213</v>
      </c>
      <c r="X19" s="33" t="n">
        <v>0</v>
      </c>
      <c r="Y19" s="33" t="inlineStr">
        <is>
          <t>Không</t>
        </is>
      </c>
      <c r="Z19" s="34" t="inlineStr"/>
      <c r="AA19" s="34" t="inlineStr"/>
      <c r="AB19" s="33" t="inlineStr">
        <is>
          <t>figures/opt-adam-lr1e-3.png</t>
        </is>
      </c>
      <c r="AC19" s="33" t="inlineStr"/>
      <c r="AD19" s="35">
        <f>IF(P19="","",P19-LN(7))</f>
        <v/>
      </c>
      <c r="AE19" s="35">
        <f>IF(OR(T19="",S19=""),"",T19-S19)</f>
        <v/>
      </c>
      <c r="AF19" s="35">
        <f>IF(OR(V19="",Seeds!$C$8=""),"",V19-Seeds!$C$8)</f>
        <v/>
      </c>
      <c r="AG19" s="35">
        <f>IF(OR(AF19="",Seeds!$C$10=""),"",IF(ABS(AF19)&gt;Seeds!$C$10,"Có","Không"))</f>
        <v/>
      </c>
    </row>
    <row r="20" ht="15" customHeight="1" s="20">
      <c r="A20" s="33" t="inlineStr">
        <is>
          <t>opt-adam-lr3e-4</t>
        </is>
      </c>
      <c r="B20" s="33" t="inlineStr">
        <is>
          <t>optimizer</t>
        </is>
      </c>
      <c r="C20" s="33" t="inlineStr">
        <is>
          <t>Adam (lr=3e-4)</t>
        </is>
      </c>
      <c r="D20" s="33" t="inlineStr">
        <is>
          <t>CE</t>
        </is>
      </c>
      <c r="E20" s="33" t="inlineStr">
        <is>
          <t>adam</t>
        </is>
      </c>
      <c r="F20" s="33" t="n">
        <v>0.0003</v>
      </c>
      <c r="G20" s="33" t="n">
        <v>0</v>
      </c>
      <c r="H20" s="33" t="n">
        <v>512</v>
      </c>
      <c r="I20" s="33" t="n">
        <v>20</v>
      </c>
      <c r="J20" s="33" t="inlineStr">
        <is>
          <t>[256, 128]</t>
        </is>
      </c>
      <c r="K20" s="33" t="n">
        <v>0</v>
      </c>
      <c r="L20" s="33" t="n"/>
      <c r="M20" s="33" t="inlineStr">
        <is>
          <t>FP32</t>
        </is>
      </c>
      <c r="N20" s="33" t="inlineStr">
        <is>
          <t>he</t>
        </is>
      </c>
      <c r="O20" s="33" t="n">
        <v>1</v>
      </c>
      <c r="P20" s="34" t="n">
        <v>2.269082259332679</v>
      </c>
      <c r="Q20" s="34" t="n">
        <v>0.3089524759926409</v>
      </c>
      <c r="R20" s="33" t="n">
        <v>20</v>
      </c>
      <c r="S20" s="34" t="n">
        <v>0.2986691810894013</v>
      </c>
      <c r="T20" s="34" t="n">
        <v>0.3089524759926409</v>
      </c>
      <c r="U20" s="34" t="n">
        <v>0.8747767806053162</v>
      </c>
      <c r="V20" s="34" t="n">
        <v>0.7930190134744963</v>
      </c>
      <c r="W20" s="33" t="n">
        <v>3.094023964998633</v>
      </c>
      <c r="X20" s="33" t="n">
        <v>0</v>
      </c>
      <c r="Y20" s="33" t="inlineStr">
        <is>
          <t>Không</t>
        </is>
      </c>
      <c r="Z20" s="34" t="inlineStr"/>
      <c r="AA20" s="34" t="inlineStr"/>
      <c r="AB20" s="33" t="inlineStr">
        <is>
          <t>figures/opt-adam-lr3e-4.png</t>
        </is>
      </c>
      <c r="AC20" s="33" t="inlineStr"/>
      <c r="AD20" s="35">
        <f>IF(P20="","",P20-LN(7))</f>
        <v/>
      </c>
      <c r="AE20" s="35">
        <f>IF(OR(T20="",S20=""),"",T20-S20)</f>
        <v/>
      </c>
      <c r="AF20" s="35">
        <f>IF(OR(V20="",Seeds!$C$8=""),"",V20-Seeds!$C$8)</f>
        <v/>
      </c>
      <c r="AG20" s="35">
        <f>IF(OR(AF20="",Seeds!$C$10=""),"",IF(ABS(AF20)&gt;Seeds!$C$10,"Có","Không"))</f>
        <v/>
      </c>
    </row>
    <row r="21" ht="15" customHeight="1" s="20">
      <c r="A21" s="33" t="inlineStr">
        <is>
          <t>opt-adamw-lr1e-3</t>
        </is>
      </c>
      <c r="B21" s="33" t="inlineStr">
        <is>
          <t>optimizer</t>
        </is>
      </c>
      <c r="C21" s="33" t="inlineStr">
        <is>
          <t>AdamW (lr=1e-3, wd=0.01)</t>
        </is>
      </c>
      <c r="D21" s="33" t="inlineStr">
        <is>
          <t>CE</t>
        </is>
      </c>
      <c r="E21" s="33" t="inlineStr">
        <is>
          <t>adamw</t>
        </is>
      </c>
      <c r="F21" s="33" t="n">
        <v>0.001</v>
      </c>
      <c r="G21" s="33" t="n">
        <v>0.01</v>
      </c>
      <c r="H21" s="33" t="n">
        <v>512</v>
      </c>
      <c r="I21" s="33" t="n">
        <v>20</v>
      </c>
      <c r="J21" s="33" t="inlineStr">
        <is>
          <t>[256, 128]</t>
        </is>
      </c>
      <c r="K21" s="33" t="n">
        <v>0</v>
      </c>
      <c r="L21" s="33" t="n"/>
      <c r="M21" s="33" t="inlineStr">
        <is>
          <t>FP32</t>
        </is>
      </c>
      <c r="N21" s="33" t="inlineStr">
        <is>
          <t>he</t>
        </is>
      </c>
      <c r="O21" s="33" t="n">
        <v>1</v>
      </c>
      <c r="P21" s="34" t="n">
        <v>2.269082259332679</v>
      </c>
      <c r="Q21" s="34" t="n">
        <v>0.2455582766990849</v>
      </c>
      <c r="R21" s="33" t="n">
        <v>18</v>
      </c>
      <c r="S21" s="34" t="n">
        <v>0.2274657642602921</v>
      </c>
      <c r="T21" s="34" t="n">
        <v>0.246678500276294</v>
      </c>
      <c r="U21" s="34" t="n">
        <v>0.9011316299438477</v>
      </c>
      <c r="V21" s="34" t="n">
        <v>0.8457545460442363</v>
      </c>
      <c r="W21" s="33" t="n">
        <v>3.087436910002725</v>
      </c>
      <c r="X21" s="33" t="n">
        <v>0</v>
      </c>
      <c r="Y21" s="33" t="inlineStr">
        <is>
          <t>Không</t>
        </is>
      </c>
      <c r="Z21" s="34" t="inlineStr"/>
      <c r="AA21" s="34" t="inlineStr"/>
      <c r="AB21" s="33" t="inlineStr">
        <is>
          <t>figures/opt-adamw-lr1e-3.png</t>
        </is>
      </c>
      <c r="AC21" s="33" t="inlineStr"/>
      <c r="AD21" s="35">
        <f>IF(P21="","",P21-LN(7))</f>
        <v/>
      </c>
      <c r="AE21" s="35">
        <f>IF(OR(T21="",S21=""),"",T21-S21)</f>
        <v/>
      </c>
      <c r="AF21" s="35">
        <f>IF(OR(V21="",Seeds!$C$8=""),"",V21-Seeds!$C$8)</f>
        <v/>
      </c>
      <c r="AG21" s="35">
        <f>IF(OR(AF21="",Seeds!$C$10=""),"",IF(ABS(AF21)&gt;Seeds!$C$10,"Có","Không"))</f>
        <v/>
      </c>
    </row>
    <row r="22" ht="15" customHeight="1" s="20">
      <c r="A22" s="33" t="inlineStr">
        <is>
          <t>opt-sgd</t>
        </is>
      </c>
      <c r="B22" s="33" t="inlineStr">
        <is>
          <t>optimizer</t>
        </is>
      </c>
      <c r="C22" s="33" t="inlineStr">
        <is>
          <t>SGD thuần (không momentum)</t>
        </is>
      </c>
      <c r="D22" s="33" t="inlineStr">
        <is>
          <t>CE</t>
        </is>
      </c>
      <c r="E22" s="33" t="inlineStr">
        <is>
          <t>sgd</t>
        </is>
      </c>
      <c r="F22" s="33" t="n">
        <v>0.05</v>
      </c>
      <c r="G22" s="33" t="n">
        <v>0</v>
      </c>
      <c r="H22" s="33" t="n">
        <v>512</v>
      </c>
      <c r="I22" s="33" t="n">
        <v>20</v>
      </c>
      <c r="J22" s="33" t="inlineStr">
        <is>
          <t>[256, 128]</t>
        </is>
      </c>
      <c r="K22" s="33" t="n">
        <v>0</v>
      </c>
      <c r="L22" s="33" t="n"/>
      <c r="M22" s="33" t="inlineStr">
        <is>
          <t>FP32</t>
        </is>
      </c>
      <c r="N22" s="33" t="inlineStr">
        <is>
          <t>he</t>
        </is>
      </c>
      <c r="O22" s="33" t="n">
        <v>1</v>
      </c>
      <c r="P22" s="34" t="n">
        <v>2.269082259332679</v>
      </c>
      <c r="Q22" s="34" t="n">
        <v>0.3899713717716004</v>
      </c>
      <c r="R22" s="33" t="n">
        <v>18</v>
      </c>
      <c r="S22" s="34" t="n">
        <v>0.4227671014022827</v>
      </c>
      <c r="T22" s="34" t="n">
        <v>0.4282539094615954</v>
      </c>
      <c r="U22" s="34" t="n">
        <v>0.8395796418190002</v>
      </c>
      <c r="V22" s="34" t="n">
        <v>0.6961844339088064</v>
      </c>
      <c r="W22" s="33" t="n">
        <v>1.878548059998138</v>
      </c>
      <c r="X22" s="33" t="n">
        <v>0</v>
      </c>
      <c r="Y22" s="33" t="inlineStr">
        <is>
          <t>Không</t>
        </is>
      </c>
      <c r="Z22" s="34" t="inlineStr"/>
      <c r="AA22" s="34" t="inlineStr"/>
      <c r="AB22" s="33" t="inlineStr">
        <is>
          <t>figures/opt-sgd.png</t>
        </is>
      </c>
      <c r="AC22" s="33" t="inlineStr"/>
      <c r="AD22" s="35">
        <f>IF(P22="","",P22-LN(7))</f>
        <v/>
      </c>
      <c r="AE22" s="35">
        <f>IF(OR(T22="",S22=""),"",T22-S22)</f>
        <v/>
      </c>
      <c r="AF22" s="35">
        <f>IF(OR(V22="",Seeds!$C$8=""),"",V22-Seeds!$C$8)</f>
        <v/>
      </c>
      <c r="AG22" s="35">
        <f>IF(OR(AF22="",Seeds!$C$10=""),"",IF(ABS(AF22)&gt;Seeds!$C$10,"Có","Không"))</f>
        <v/>
      </c>
    </row>
    <row r="23" ht="15" customHeight="1" s="20">
      <c r="A23" s="33" t="n"/>
      <c r="B23" s="33" t="n"/>
      <c r="C23" s="33" t="n"/>
      <c r="D23" s="33" t="n"/>
      <c r="E23" s="33" t="n"/>
      <c r="F23" s="33" t="n"/>
      <c r="G23" s="33" t="n"/>
      <c r="H23" s="33" t="n"/>
      <c r="I23" s="33" t="n"/>
      <c r="J23" s="33" t="n"/>
      <c r="K23" s="33" t="n"/>
      <c r="L23" s="33" t="n"/>
      <c r="M23" s="33" t="n"/>
      <c r="N23" s="33" t="n"/>
      <c r="O23" s="33" t="n"/>
      <c r="P23" s="34" t="n"/>
      <c r="Q23" s="34" t="n"/>
      <c r="R23" s="33" t="n"/>
      <c r="S23" s="34" t="n"/>
      <c r="T23" s="34" t="n"/>
      <c r="U23" s="34" t="n"/>
      <c r="V23" s="34" t="n"/>
      <c r="W23" s="33" t="n"/>
      <c r="X23" s="33" t="n"/>
      <c r="Y23" s="33" t="n"/>
      <c r="Z23" s="34" t="n"/>
      <c r="AA23" s="34" t="n"/>
      <c r="AB23" s="33" t="n"/>
      <c r="AC23" s="33" t="n"/>
      <c r="AD23" s="35">
        <f>IF(P23="","",P23-LN(7))</f>
        <v/>
      </c>
      <c r="AE23" s="35">
        <f>IF(OR(T23="",S23=""),"",T23-S23)</f>
        <v/>
      </c>
      <c r="AF23" s="35">
        <f>IF(OR(V23="",Seeds!$C$8=""),"",V23-Seeds!$C$8)</f>
        <v/>
      </c>
      <c r="AG23" s="35">
        <f>IF(OR(AF23="",Seeds!$C$10=""),"",IF(ABS(AF23)&gt;Seeds!$C$10,"Có","Không"))</f>
        <v/>
      </c>
    </row>
    <row r="24" ht="15" customHeight="1" s="20">
      <c r="A24" s="33" t="n"/>
      <c r="B24" s="33" t="n"/>
      <c r="C24" s="33" t="n"/>
      <c r="D24" s="33" t="n"/>
      <c r="E24" s="33" t="n"/>
      <c r="F24" s="33" t="n"/>
      <c r="G24" s="33" t="n"/>
      <c r="H24" s="33" t="n"/>
      <c r="I24" s="33" t="n"/>
      <c r="J24" s="33" t="n"/>
      <c r="K24" s="33" t="n"/>
      <c r="L24" s="33" t="n"/>
      <c r="M24" s="33" t="n"/>
      <c r="N24" s="33" t="n"/>
      <c r="O24" s="33" t="n"/>
      <c r="P24" s="34" t="n"/>
      <c r="Q24" s="34" t="n"/>
      <c r="R24" s="33" t="n"/>
      <c r="S24" s="34" t="n"/>
      <c r="T24" s="34" t="n"/>
      <c r="U24" s="34" t="n"/>
      <c r="V24" s="34" t="n"/>
      <c r="W24" s="33" t="n"/>
      <c r="X24" s="33" t="n"/>
      <c r="Y24" s="33" t="n"/>
      <c r="Z24" s="34" t="n"/>
      <c r="AA24" s="34" t="n"/>
      <c r="AB24" s="33" t="n"/>
      <c r="AC24" s="33" t="n"/>
      <c r="AD24" s="35">
        <f>IF(P24="","",P24-LN(7))</f>
        <v/>
      </c>
      <c r="AE24" s="35">
        <f>IF(OR(T24="",S24=""),"",T24-S24)</f>
        <v/>
      </c>
      <c r="AF24" s="35">
        <f>IF(OR(V24="",Seeds!$C$8=""),"",V24-Seeds!$C$8)</f>
        <v/>
      </c>
      <c r="AG24" s="35">
        <f>IF(OR(AF24="",Seeds!$C$10=""),"",IF(ABS(AF24)&gt;Seeds!$C$10,"Có","Không"))</f>
        <v/>
      </c>
    </row>
    <row r="25" ht="15" customHeight="1" s="20">
      <c r="A25" s="33" t="n"/>
      <c r="B25" s="33" t="n"/>
      <c r="C25" s="33" t="n"/>
      <c r="D25" s="33" t="n"/>
      <c r="E25" s="33" t="n"/>
      <c r="F25" s="33" t="n"/>
      <c r="G25" s="33" t="n"/>
      <c r="H25" s="33" t="n"/>
      <c r="I25" s="33" t="n"/>
      <c r="J25" s="33" t="n"/>
      <c r="K25" s="33" t="n"/>
      <c r="L25" s="33" t="n"/>
      <c r="M25" s="33" t="n"/>
      <c r="N25" s="33" t="n"/>
      <c r="O25" s="33" t="n"/>
      <c r="P25" s="34" t="n"/>
      <c r="Q25" s="34" t="n"/>
      <c r="R25" s="33" t="n"/>
      <c r="S25" s="34" t="n"/>
      <c r="T25" s="34" t="n"/>
      <c r="U25" s="34" t="n"/>
      <c r="V25" s="34" t="n"/>
      <c r="W25" s="33" t="n"/>
      <c r="X25" s="33" t="n"/>
      <c r="Y25" s="33" t="n"/>
      <c r="Z25" s="34" t="n"/>
      <c r="AA25" s="34" t="n"/>
      <c r="AB25" s="33" t="n"/>
      <c r="AC25" s="33" t="n"/>
      <c r="AD25" s="35">
        <f>IF(P25="","",P25-LN(7))</f>
        <v/>
      </c>
      <c r="AE25" s="35">
        <f>IF(OR(T25="",S25=""),"",T25-S25)</f>
        <v/>
      </c>
      <c r="AF25" s="35">
        <f>IF(OR(V25="",Seeds!$C$8=""),"",V25-Seeds!$C$8)</f>
        <v/>
      </c>
      <c r="AG25" s="35">
        <f>IF(OR(AF25="",Seeds!$C$10=""),"",IF(ABS(AF25)&gt;Seeds!$C$10,"Có","Không"))</f>
        <v/>
      </c>
    </row>
    <row r="26" ht="15" customHeight="1" s="20">
      <c r="A26" s="33" t="n"/>
      <c r="B26" s="33" t="n"/>
      <c r="C26" s="33" t="n"/>
      <c r="D26" s="33" t="n"/>
      <c r="E26" s="33" t="n"/>
      <c r="F26" s="33" t="n"/>
      <c r="G26" s="33" t="n"/>
      <c r="H26" s="33" t="n"/>
      <c r="I26" s="33" t="n"/>
      <c r="J26" s="33" t="n"/>
      <c r="K26" s="33" t="n"/>
      <c r="L26" s="33" t="n"/>
      <c r="M26" s="33" t="n"/>
      <c r="N26" s="33" t="n"/>
      <c r="O26" s="33" t="n"/>
      <c r="P26" s="34" t="n"/>
      <c r="Q26" s="34" t="n"/>
      <c r="R26" s="33" t="n"/>
      <c r="S26" s="34" t="n"/>
      <c r="T26" s="34" t="n"/>
      <c r="U26" s="34" t="n"/>
      <c r="V26" s="34" t="n"/>
      <c r="W26" s="33" t="n"/>
      <c r="X26" s="33" t="n"/>
      <c r="Y26" s="33" t="n"/>
      <c r="Z26" s="34" t="n"/>
      <c r="AA26" s="34" t="n"/>
      <c r="AB26" s="33" t="n"/>
      <c r="AC26" s="33" t="n"/>
      <c r="AD26" s="35">
        <f>IF(P26="","",P26-LN(7))</f>
        <v/>
      </c>
      <c r="AE26" s="35">
        <f>IF(OR(T26="",S26=""),"",T26-S26)</f>
        <v/>
      </c>
      <c r="AF26" s="35">
        <f>IF(OR(V26="",Seeds!$C$8=""),"",V26-Seeds!$C$8)</f>
        <v/>
      </c>
      <c r="AG26" s="35">
        <f>IF(OR(AF26="",Seeds!$C$10=""),"",IF(ABS(AF26)&gt;Seeds!$C$10,"Có","Không"))</f>
        <v/>
      </c>
    </row>
    <row r="27" ht="15" customHeight="1" s="20">
      <c r="A27" s="33" t="n"/>
      <c r="B27" s="33" t="n"/>
      <c r="C27" s="33" t="n"/>
      <c r="D27" s="33" t="n"/>
      <c r="E27" s="33" t="n"/>
      <c r="F27" s="33" t="n"/>
      <c r="G27" s="33" t="n"/>
      <c r="H27" s="33" t="n"/>
      <c r="I27" s="33" t="n"/>
      <c r="J27" s="33" t="n"/>
      <c r="K27" s="33" t="n"/>
      <c r="L27" s="33" t="n"/>
      <c r="M27" s="33" t="n"/>
      <c r="N27" s="33" t="n"/>
      <c r="O27" s="33" t="n"/>
      <c r="P27" s="34" t="n"/>
      <c r="Q27" s="34" t="n"/>
      <c r="R27" s="33" t="n"/>
      <c r="S27" s="34" t="n"/>
      <c r="T27" s="34" t="n"/>
      <c r="U27" s="34" t="n"/>
      <c r="V27" s="34" t="n"/>
      <c r="W27" s="33" t="n"/>
      <c r="X27" s="33" t="n"/>
      <c r="Y27" s="33" t="n"/>
      <c r="Z27" s="34" t="n"/>
      <c r="AA27" s="34" t="n"/>
      <c r="AB27" s="33" t="n"/>
      <c r="AC27" s="33" t="n"/>
      <c r="AD27" s="35">
        <f>IF(P27="","",P27-LN(7))</f>
        <v/>
      </c>
      <c r="AE27" s="35">
        <f>IF(OR(T27="",S27=""),"",T27-S27)</f>
        <v/>
      </c>
      <c r="AF27" s="35">
        <f>IF(OR(V27="",Seeds!$C$8=""),"",V27-Seeds!$C$8)</f>
        <v/>
      </c>
      <c r="AG27" s="35">
        <f>IF(OR(AF27="",Seeds!$C$10=""),"",IF(ABS(AF27)&gt;Seeds!$C$10,"Có","Không"))</f>
        <v/>
      </c>
    </row>
    <row r="28" ht="15" customHeight="1" s="20">
      <c r="A28" s="33" t="n"/>
      <c r="B28" s="33" t="n"/>
      <c r="C28" s="33" t="n"/>
      <c r="D28" s="33" t="n"/>
      <c r="E28" s="33" t="n"/>
      <c r="F28" s="33" t="n"/>
      <c r="G28" s="33" t="n"/>
      <c r="H28" s="33" t="n"/>
      <c r="I28" s="33" t="n"/>
      <c r="J28" s="33" t="n"/>
      <c r="K28" s="33" t="n"/>
      <c r="L28" s="33" t="n"/>
      <c r="M28" s="33" t="n"/>
      <c r="N28" s="33" t="n"/>
      <c r="O28" s="33" t="n"/>
      <c r="P28" s="34" t="n"/>
      <c r="Q28" s="34" t="n"/>
      <c r="R28" s="33" t="n"/>
      <c r="S28" s="34" t="n"/>
      <c r="T28" s="34" t="n"/>
      <c r="U28" s="34" t="n"/>
      <c r="V28" s="34" t="n"/>
      <c r="W28" s="33" t="n"/>
      <c r="X28" s="33" t="n"/>
      <c r="Y28" s="33" t="n"/>
      <c r="Z28" s="34" t="n"/>
      <c r="AA28" s="34" t="n"/>
      <c r="AB28" s="33" t="n"/>
      <c r="AC28" s="33" t="n"/>
      <c r="AD28" s="35">
        <f>IF(P28="","",P28-LN(7))</f>
        <v/>
      </c>
      <c r="AE28" s="35">
        <f>IF(OR(T28="",S28=""),"",T28-S28)</f>
        <v/>
      </c>
      <c r="AF28" s="35">
        <f>IF(OR(V28="",Seeds!$C$8=""),"",V28-Seeds!$C$8)</f>
        <v/>
      </c>
      <c r="AG28" s="35">
        <f>IF(OR(AF28="",Seeds!$C$10=""),"",IF(ABS(AF28)&gt;Seeds!$C$10,"Có","Không"))</f>
        <v/>
      </c>
    </row>
    <row r="29" ht="15" customHeight="1" s="20">
      <c r="A29" s="33" t="n"/>
      <c r="B29" s="33" t="n"/>
      <c r="C29" s="33" t="n"/>
      <c r="D29" s="33" t="n"/>
      <c r="E29" s="33" t="n"/>
      <c r="F29" s="33" t="n"/>
      <c r="G29" s="33" t="n"/>
      <c r="H29" s="33" t="n"/>
      <c r="I29" s="33" t="n"/>
      <c r="J29" s="33" t="n"/>
      <c r="K29" s="33" t="n"/>
      <c r="L29" s="33" t="n"/>
      <c r="M29" s="33" t="n"/>
      <c r="N29" s="33" t="n"/>
      <c r="O29" s="33" t="n"/>
      <c r="P29" s="34" t="n"/>
      <c r="Q29" s="34" t="n"/>
      <c r="R29" s="33" t="n"/>
      <c r="S29" s="34" t="n"/>
      <c r="T29" s="34" t="n"/>
      <c r="U29" s="34" t="n"/>
      <c r="V29" s="34" t="n"/>
      <c r="W29" s="33" t="n"/>
      <c r="X29" s="33" t="n"/>
      <c r="Y29" s="33" t="n"/>
      <c r="Z29" s="34" t="n"/>
      <c r="AA29" s="34" t="n"/>
      <c r="AB29" s="33" t="n"/>
      <c r="AC29" s="33" t="n"/>
      <c r="AD29" s="35">
        <f>IF(P29="","",P29-LN(7))</f>
        <v/>
      </c>
      <c r="AE29" s="35">
        <f>IF(OR(T29="",S29=""),"",T29-S29)</f>
        <v/>
      </c>
      <c r="AF29" s="35">
        <f>IF(OR(V29="",Seeds!$C$8=""),"",V29-Seeds!$C$8)</f>
        <v/>
      </c>
      <c r="AG29" s="35">
        <f>IF(OR(AF29="",Seeds!$C$10=""),"",IF(ABS(AF29)&gt;Seeds!$C$10,"Có","Không"))</f>
        <v/>
      </c>
    </row>
    <row r="30" ht="15" customHeight="1" s="20">
      <c r="A30" s="33" t="n"/>
      <c r="B30" s="33" t="n"/>
      <c r="C30" s="33" t="n"/>
      <c r="D30" s="33" t="n"/>
      <c r="E30" s="33" t="n"/>
      <c r="F30" s="33" t="n"/>
      <c r="G30" s="33" t="n"/>
      <c r="H30" s="33" t="n"/>
      <c r="I30" s="33" t="n"/>
      <c r="J30" s="33" t="n"/>
      <c r="K30" s="33" t="n"/>
      <c r="L30" s="33" t="n"/>
      <c r="M30" s="33" t="n"/>
      <c r="N30" s="33" t="n"/>
      <c r="O30" s="33" t="n"/>
      <c r="P30" s="34" t="n"/>
      <c r="Q30" s="34" t="n"/>
      <c r="R30" s="33" t="n"/>
      <c r="S30" s="34" t="n"/>
      <c r="T30" s="34" t="n"/>
      <c r="U30" s="34" t="n"/>
      <c r="V30" s="34" t="n"/>
      <c r="W30" s="33" t="n"/>
      <c r="X30" s="33" t="n"/>
      <c r="Y30" s="33" t="n"/>
      <c r="Z30" s="34" t="n"/>
      <c r="AA30" s="34" t="n"/>
      <c r="AB30" s="33" t="n"/>
      <c r="AC30" s="33" t="n"/>
      <c r="AD30" s="35">
        <f>IF(P30="","",P30-LN(7))</f>
        <v/>
      </c>
      <c r="AE30" s="35">
        <f>IF(OR(T30="",S30=""),"",T30-S30)</f>
        <v/>
      </c>
      <c r="AF30" s="35">
        <f>IF(OR(V30="",Seeds!$C$8=""),"",V30-Seeds!$C$8)</f>
        <v/>
      </c>
      <c r="AG30" s="35">
        <f>IF(OR(AF30="",Seeds!$C$10=""),"",IF(ABS(AF30)&gt;Seeds!$C$10,"Có","Không"))</f>
        <v/>
      </c>
    </row>
    <row r="31" ht="15" customHeight="1" s="20">
      <c r="A31" s="33" t="n"/>
      <c r="B31" s="33" t="n"/>
      <c r="C31" s="33" t="n"/>
      <c r="D31" s="33" t="n"/>
      <c r="E31" s="33" t="n"/>
      <c r="F31" s="33" t="n"/>
      <c r="G31" s="33" t="n"/>
      <c r="H31" s="33" t="n"/>
      <c r="I31" s="33" t="n"/>
      <c r="J31" s="33" t="n"/>
      <c r="K31" s="33" t="n"/>
      <c r="L31" s="33" t="n"/>
      <c r="M31" s="33" t="n"/>
      <c r="N31" s="33" t="n"/>
      <c r="O31" s="33" t="n"/>
      <c r="P31" s="34" t="n"/>
      <c r="Q31" s="34" t="n"/>
      <c r="R31" s="33" t="n"/>
      <c r="S31" s="34" t="n"/>
      <c r="T31" s="34" t="n"/>
      <c r="U31" s="34" t="n"/>
      <c r="V31" s="34" t="n"/>
      <c r="W31" s="33" t="n"/>
      <c r="X31" s="33" t="n"/>
      <c r="Y31" s="33" t="n"/>
      <c r="Z31" s="34" t="n"/>
      <c r="AA31" s="34" t="n"/>
      <c r="AB31" s="33" t="n"/>
      <c r="AC31" s="33" t="n"/>
      <c r="AD31" s="35">
        <f>IF(P31="","",P31-LN(7))</f>
        <v/>
      </c>
      <c r="AE31" s="35">
        <f>IF(OR(T31="",S31=""),"",T31-S31)</f>
        <v/>
      </c>
      <c r="AF31" s="35">
        <f>IF(OR(V31="",Seeds!$C$8=""),"",V31-Seeds!$C$8)</f>
        <v/>
      </c>
      <c r="AG31" s="35">
        <f>IF(OR(AF31="",Seeds!$C$10=""),"",IF(ABS(AF31)&gt;Seeds!$C$10,"Có","Không"))</f>
        <v/>
      </c>
    </row>
    <row r="32" ht="15" customHeight="1" s="20">
      <c r="A32" s="33" t="n"/>
      <c r="B32" s="33" t="n"/>
      <c r="C32" s="33" t="n"/>
      <c r="D32" s="33" t="n"/>
      <c r="E32" s="33" t="n"/>
      <c r="F32" s="33" t="n"/>
      <c r="G32" s="33" t="n"/>
      <c r="H32" s="33" t="n"/>
      <c r="I32" s="33" t="n"/>
      <c r="J32" s="33" t="n"/>
      <c r="K32" s="33" t="n"/>
      <c r="L32" s="33" t="n"/>
      <c r="M32" s="33" t="n"/>
      <c r="N32" s="33" t="n"/>
      <c r="O32" s="33" t="n"/>
      <c r="P32" s="34" t="n"/>
      <c r="Q32" s="34" t="n"/>
      <c r="R32" s="33" t="n"/>
      <c r="S32" s="34" t="n"/>
      <c r="T32" s="34" t="n"/>
      <c r="U32" s="34" t="n"/>
      <c r="V32" s="34" t="n"/>
      <c r="W32" s="33" t="n"/>
      <c r="X32" s="33" t="n"/>
      <c r="Y32" s="33" t="n"/>
      <c r="Z32" s="34" t="n"/>
      <c r="AA32" s="34" t="n"/>
      <c r="AB32" s="33" t="n"/>
      <c r="AC32" s="33" t="n"/>
      <c r="AD32" s="35">
        <f>IF(P32="","",P32-LN(7))</f>
        <v/>
      </c>
      <c r="AE32" s="35">
        <f>IF(OR(T32="",S32=""),"",T32-S32)</f>
        <v/>
      </c>
      <c r="AF32" s="35">
        <f>IF(OR(V32="",Seeds!$C$8=""),"",V32-Seeds!$C$8)</f>
        <v/>
      </c>
      <c r="AG32" s="35">
        <f>IF(OR(AF32="",Seeds!$C$10=""),"",IF(ABS(AF32)&gt;Seeds!$C$10,"Có","Không"))</f>
        <v/>
      </c>
    </row>
    <row r="33" ht="15" customHeight="1" s="20">
      <c r="A33" s="33" t="n"/>
      <c r="B33" s="33" t="n"/>
      <c r="C33" s="33" t="n"/>
      <c r="D33" s="33" t="n"/>
      <c r="E33" s="33" t="n"/>
      <c r="F33" s="33" t="n"/>
      <c r="G33" s="33" t="n"/>
      <c r="H33" s="33" t="n"/>
      <c r="I33" s="33" t="n"/>
      <c r="J33" s="33" t="n"/>
      <c r="K33" s="33" t="n"/>
      <c r="L33" s="33" t="n"/>
      <c r="M33" s="33" t="n"/>
      <c r="N33" s="33" t="n"/>
      <c r="O33" s="33" t="n"/>
      <c r="P33" s="34" t="n"/>
      <c r="Q33" s="34" t="n"/>
      <c r="R33" s="33" t="n"/>
      <c r="S33" s="34" t="n"/>
      <c r="T33" s="34" t="n"/>
      <c r="U33" s="34" t="n"/>
      <c r="V33" s="34" t="n"/>
      <c r="W33" s="33" t="n"/>
      <c r="X33" s="33" t="n"/>
      <c r="Y33" s="33" t="n"/>
      <c r="Z33" s="34" t="n"/>
      <c r="AA33" s="34" t="n"/>
      <c r="AB33" s="33" t="n"/>
      <c r="AC33" s="33" t="n"/>
      <c r="AD33" s="35">
        <f>IF(P33="","",P33-LN(7))</f>
        <v/>
      </c>
      <c r="AE33" s="35">
        <f>IF(OR(T33="",S33=""),"",T33-S33)</f>
        <v/>
      </c>
      <c r="AF33" s="35">
        <f>IF(OR(V33="",Seeds!$C$8=""),"",V33-Seeds!$C$8)</f>
        <v/>
      </c>
      <c r="AG33" s="35">
        <f>IF(OR(AF33="",Seeds!$C$10=""),"",IF(ABS(AF33)&gt;Seeds!$C$10,"Có","Không"))</f>
        <v/>
      </c>
    </row>
    <row r="34" ht="15" customHeight="1" s="20">
      <c r="A34" s="33" t="n"/>
      <c r="B34" s="33" t="n"/>
      <c r="C34" s="33" t="n"/>
      <c r="D34" s="33" t="n"/>
      <c r="E34" s="33" t="n"/>
      <c r="F34" s="33" t="n"/>
      <c r="G34" s="33" t="n"/>
      <c r="H34" s="33" t="n"/>
      <c r="I34" s="33" t="n"/>
      <c r="J34" s="33" t="n"/>
      <c r="K34" s="33" t="n"/>
      <c r="L34" s="33" t="n"/>
      <c r="M34" s="33" t="n"/>
      <c r="N34" s="33" t="n"/>
      <c r="O34" s="33" t="n"/>
      <c r="P34" s="34" t="n"/>
      <c r="Q34" s="34" t="n"/>
      <c r="R34" s="33" t="n"/>
      <c r="S34" s="34" t="n"/>
      <c r="T34" s="34" t="n"/>
      <c r="U34" s="34" t="n"/>
      <c r="V34" s="34" t="n"/>
      <c r="W34" s="33" t="n"/>
      <c r="X34" s="33" t="n"/>
      <c r="Y34" s="33" t="n"/>
      <c r="Z34" s="34" t="n"/>
      <c r="AA34" s="34" t="n"/>
      <c r="AB34" s="33" t="n"/>
      <c r="AC34" s="33" t="n"/>
      <c r="AD34" s="35">
        <f>IF(P34="","",P34-LN(7))</f>
        <v/>
      </c>
      <c r="AE34" s="35">
        <f>IF(OR(T34="",S34=""),"",T34-S34)</f>
        <v/>
      </c>
      <c r="AF34" s="35">
        <f>IF(OR(V34="",Seeds!$C$8=""),"",V34-Seeds!$C$8)</f>
        <v/>
      </c>
      <c r="AG34" s="35">
        <f>IF(OR(AF34="",Seeds!$C$10=""),"",IF(ABS(AF34)&gt;Seeds!$C$10,"Có","Không"))</f>
        <v/>
      </c>
    </row>
    <row r="35" ht="15" customHeight="1" s="20">
      <c r="A35" s="33" t="n"/>
      <c r="B35" s="33" t="n"/>
      <c r="C35" s="33" t="n"/>
      <c r="D35" s="33" t="n"/>
      <c r="E35" s="33" t="n"/>
      <c r="F35" s="33" t="n"/>
      <c r="G35" s="33" t="n"/>
      <c r="H35" s="33" t="n"/>
      <c r="I35" s="33" t="n"/>
      <c r="J35" s="33" t="n"/>
      <c r="K35" s="33" t="n"/>
      <c r="L35" s="33" t="n"/>
      <c r="M35" s="33" t="n"/>
      <c r="N35" s="33" t="n"/>
      <c r="O35" s="33" t="n"/>
      <c r="P35" s="34" t="n"/>
      <c r="Q35" s="34" t="n"/>
      <c r="R35" s="33" t="n"/>
      <c r="S35" s="34" t="n"/>
      <c r="T35" s="34" t="n"/>
      <c r="U35" s="34" t="n"/>
      <c r="V35" s="34" t="n"/>
      <c r="W35" s="33" t="n"/>
      <c r="X35" s="33" t="n"/>
      <c r="Y35" s="33" t="n"/>
      <c r="Z35" s="34" t="n"/>
      <c r="AA35" s="34" t="n"/>
      <c r="AB35" s="33" t="n"/>
      <c r="AC35" s="33" t="n"/>
      <c r="AD35" s="35">
        <f>IF(P35="","",P35-LN(7))</f>
        <v/>
      </c>
      <c r="AE35" s="35">
        <f>IF(OR(T35="",S35=""),"",T35-S35)</f>
        <v/>
      </c>
      <c r="AF35" s="35">
        <f>IF(OR(V35="",Seeds!$C$8=""),"",V35-Seeds!$C$8)</f>
        <v/>
      </c>
      <c r="AG35" s="35">
        <f>IF(OR(AF35="",Seeds!$C$10=""),"",IF(ABS(AF35)&gt;Seeds!$C$10,"Có","Không"))</f>
        <v/>
      </c>
    </row>
    <row r="36" ht="15" customHeight="1" s="20">
      <c r="A36" s="33" t="n"/>
      <c r="B36" s="33" t="n"/>
      <c r="C36" s="33" t="n"/>
      <c r="D36" s="33" t="n"/>
      <c r="E36" s="33" t="n"/>
      <c r="F36" s="33" t="n"/>
      <c r="G36" s="33" t="n"/>
      <c r="H36" s="33" t="n"/>
      <c r="I36" s="33" t="n"/>
      <c r="J36" s="33" t="n"/>
      <c r="K36" s="33" t="n"/>
      <c r="L36" s="33" t="n"/>
      <c r="M36" s="33" t="n"/>
      <c r="N36" s="33" t="n"/>
      <c r="O36" s="33" t="n"/>
      <c r="P36" s="34" t="n"/>
      <c r="Q36" s="34" t="n"/>
      <c r="R36" s="33" t="n"/>
      <c r="S36" s="34" t="n"/>
      <c r="T36" s="34" t="n"/>
      <c r="U36" s="34" t="n"/>
      <c r="V36" s="34" t="n"/>
      <c r="W36" s="33" t="n"/>
      <c r="X36" s="33" t="n"/>
      <c r="Y36" s="33" t="n"/>
      <c r="Z36" s="34" t="n"/>
      <c r="AA36" s="34" t="n"/>
      <c r="AB36" s="33" t="n"/>
      <c r="AC36" s="33" t="n"/>
      <c r="AD36" s="35">
        <f>IF(P36="","",P36-LN(7))</f>
        <v/>
      </c>
      <c r="AE36" s="35">
        <f>IF(OR(T36="",S36=""),"",T36-S36)</f>
        <v/>
      </c>
      <c r="AF36" s="35">
        <f>IF(OR(V36="",Seeds!$C$8=""),"",V36-Seeds!$C$8)</f>
        <v/>
      </c>
      <c r="AG36" s="35">
        <f>IF(OR(AF36="",Seeds!$C$10=""),"",IF(ABS(AF36)&gt;Seeds!$C$10,"Có","Không"))</f>
        <v/>
      </c>
    </row>
    <row r="37" ht="15" customHeight="1" s="20">
      <c r="A37" s="33" t="n"/>
      <c r="B37" s="33" t="n"/>
      <c r="C37" s="33" t="n"/>
      <c r="D37" s="33" t="n"/>
      <c r="E37" s="33" t="n"/>
      <c r="F37" s="33" t="n"/>
      <c r="G37" s="33" t="n"/>
      <c r="H37" s="33" t="n"/>
      <c r="I37" s="33" t="n"/>
      <c r="J37" s="33" t="n"/>
      <c r="K37" s="33" t="n"/>
      <c r="L37" s="33" t="n"/>
      <c r="M37" s="33" t="n"/>
      <c r="N37" s="33" t="n"/>
      <c r="O37" s="33" t="n"/>
      <c r="P37" s="34" t="n"/>
      <c r="Q37" s="34" t="n"/>
      <c r="R37" s="33" t="n"/>
      <c r="S37" s="34" t="n"/>
      <c r="T37" s="34" t="n"/>
      <c r="U37" s="34" t="n"/>
      <c r="V37" s="34" t="n"/>
      <c r="W37" s="33" t="n"/>
      <c r="X37" s="33" t="n"/>
      <c r="Y37" s="33" t="n"/>
      <c r="Z37" s="34" t="n"/>
      <c r="AA37" s="34" t="n"/>
      <c r="AB37" s="33" t="n"/>
      <c r="AC37" s="33" t="n"/>
      <c r="AD37" s="35">
        <f>IF(P37="","",P37-LN(7))</f>
        <v/>
      </c>
      <c r="AE37" s="35">
        <f>IF(OR(T37="",S37=""),"",T37-S37)</f>
        <v/>
      </c>
      <c r="AF37" s="35">
        <f>IF(OR(V37="",Seeds!$C$8=""),"",V37-Seeds!$C$8)</f>
        <v/>
      </c>
      <c r="AG37" s="35">
        <f>IF(OR(AF37="",Seeds!$C$10=""),"",IF(ABS(AF37)&gt;Seeds!$C$10,"Có","Không"))</f>
        <v/>
      </c>
    </row>
    <row r="38" ht="15" customHeight="1" s="20">
      <c r="A38" s="33" t="n"/>
      <c r="B38" s="33" t="n"/>
      <c r="C38" s="33" t="n"/>
      <c r="D38" s="33" t="n"/>
      <c r="E38" s="33" t="n"/>
      <c r="F38" s="33" t="n"/>
      <c r="G38" s="33" t="n"/>
      <c r="H38" s="33" t="n"/>
      <c r="I38" s="33" t="n"/>
      <c r="J38" s="33" t="n"/>
      <c r="K38" s="33" t="n"/>
      <c r="L38" s="33" t="n"/>
      <c r="M38" s="33" t="n"/>
      <c r="N38" s="33" t="n"/>
      <c r="O38" s="33" t="n"/>
      <c r="P38" s="34" t="n"/>
      <c r="Q38" s="34" t="n"/>
      <c r="R38" s="33" t="n"/>
      <c r="S38" s="34" t="n"/>
      <c r="T38" s="34" t="n"/>
      <c r="U38" s="34" t="n"/>
      <c r="V38" s="34" t="n"/>
      <c r="W38" s="33" t="n"/>
      <c r="X38" s="33" t="n"/>
      <c r="Y38" s="33" t="n"/>
      <c r="Z38" s="34" t="n"/>
      <c r="AA38" s="34" t="n"/>
      <c r="AB38" s="33" t="n"/>
      <c r="AC38" s="33" t="n"/>
      <c r="AD38" s="35">
        <f>IF(P38="","",P38-LN(7))</f>
        <v/>
      </c>
      <c r="AE38" s="35">
        <f>IF(OR(T38="",S38=""),"",T38-S38)</f>
        <v/>
      </c>
      <c r="AF38" s="35">
        <f>IF(OR(V38="",Seeds!$C$8=""),"",V38-Seeds!$C$8)</f>
        <v/>
      </c>
      <c r="AG38" s="35">
        <f>IF(OR(AF38="",Seeds!$C$10=""),"",IF(ABS(AF38)&gt;Seeds!$C$10,"Có","Không"))</f>
        <v/>
      </c>
    </row>
    <row r="39" ht="15" customHeight="1" s="20">
      <c r="A39" s="33" t="n"/>
      <c r="B39" s="33" t="n"/>
      <c r="C39" s="33" t="n"/>
      <c r="D39" s="33" t="n"/>
      <c r="E39" s="33" t="n"/>
      <c r="F39" s="33" t="n"/>
      <c r="G39" s="33" t="n"/>
      <c r="H39" s="33" t="n"/>
      <c r="I39" s="33" t="n"/>
      <c r="J39" s="33" t="n"/>
      <c r="K39" s="33" t="n"/>
      <c r="L39" s="33" t="n"/>
      <c r="M39" s="33" t="n"/>
      <c r="N39" s="33" t="n"/>
      <c r="O39" s="33" t="n"/>
      <c r="P39" s="34" t="n"/>
      <c r="Q39" s="34" t="n"/>
      <c r="R39" s="33" t="n"/>
      <c r="S39" s="34" t="n"/>
      <c r="T39" s="34" t="n"/>
      <c r="U39" s="34" t="n"/>
      <c r="V39" s="34" t="n"/>
      <c r="W39" s="33" t="n"/>
      <c r="X39" s="33" t="n"/>
      <c r="Y39" s="33" t="n"/>
      <c r="Z39" s="34" t="n"/>
      <c r="AA39" s="34" t="n"/>
      <c r="AB39" s="33" t="n"/>
      <c r="AC39" s="33" t="n"/>
      <c r="AD39" s="35">
        <f>IF(P39="","",P39-LN(7))</f>
        <v/>
      </c>
      <c r="AE39" s="35">
        <f>IF(OR(T39="",S39=""),"",T39-S39)</f>
        <v/>
      </c>
      <c r="AF39" s="35">
        <f>IF(OR(V39="",Seeds!$C$8=""),"",V39-Seeds!$C$8)</f>
        <v/>
      </c>
      <c r="AG39" s="35">
        <f>IF(OR(AF39="",Seeds!$C$10=""),"",IF(ABS(AF39)&gt;Seeds!$C$10,"Có","Không"))</f>
        <v/>
      </c>
    </row>
    <row r="40" ht="15" customHeight="1" s="20">
      <c r="A40" s="33" t="n"/>
      <c r="B40" s="33" t="n"/>
      <c r="C40" s="33" t="n"/>
      <c r="D40" s="33" t="n"/>
      <c r="E40" s="33" t="n"/>
      <c r="F40" s="33" t="n"/>
      <c r="G40" s="33" t="n"/>
      <c r="H40" s="33" t="n"/>
      <c r="I40" s="33" t="n"/>
      <c r="J40" s="33" t="n"/>
      <c r="K40" s="33" t="n"/>
      <c r="L40" s="33" t="n"/>
      <c r="M40" s="33" t="n"/>
      <c r="N40" s="33" t="n"/>
      <c r="O40" s="33" t="n"/>
      <c r="P40" s="34" t="n"/>
      <c r="Q40" s="34" t="n"/>
      <c r="R40" s="33" t="n"/>
      <c r="S40" s="34" t="n"/>
      <c r="T40" s="34" t="n"/>
      <c r="U40" s="34" t="n"/>
      <c r="V40" s="34" t="n"/>
      <c r="W40" s="33" t="n"/>
      <c r="X40" s="33" t="n"/>
      <c r="Y40" s="33" t="n"/>
      <c r="Z40" s="34" t="n"/>
      <c r="AA40" s="34" t="n"/>
      <c r="AB40" s="33" t="n"/>
      <c r="AC40" s="33" t="n"/>
      <c r="AD40" s="35">
        <f>IF(P40="","",P40-LN(7))</f>
        <v/>
      </c>
      <c r="AE40" s="35">
        <f>IF(OR(T40="",S40=""),"",T40-S40)</f>
        <v/>
      </c>
      <c r="AF40" s="35">
        <f>IF(OR(V40="",Seeds!$C$8=""),"",V40-Seeds!$C$8)</f>
        <v/>
      </c>
      <c r="AG40" s="35">
        <f>IF(OR(AF40="",Seeds!$C$10=""),"",IF(ABS(AF40)&gt;Seeds!$C$10,"Có","Không"))</f>
        <v/>
      </c>
    </row>
    <row r="41" ht="15" customHeight="1" s="20">
      <c r="A41" s="33" t="n"/>
      <c r="B41" s="33" t="n"/>
      <c r="C41" s="33" t="n"/>
      <c r="D41" s="33" t="n"/>
      <c r="E41" s="33" t="n"/>
      <c r="F41" s="33" t="n"/>
      <c r="G41" s="33" t="n"/>
      <c r="H41" s="33" t="n"/>
      <c r="I41" s="33" t="n"/>
      <c r="J41" s="33" t="n"/>
      <c r="K41" s="33" t="n"/>
      <c r="L41" s="33" t="n"/>
      <c r="M41" s="33" t="n"/>
      <c r="N41" s="33" t="n"/>
      <c r="O41" s="33" t="n"/>
      <c r="P41" s="34" t="n"/>
      <c r="Q41" s="34" t="n"/>
      <c r="R41" s="33" t="n"/>
      <c r="S41" s="34" t="n"/>
      <c r="T41" s="34" t="n"/>
      <c r="U41" s="34" t="n"/>
      <c r="V41" s="34" t="n"/>
      <c r="W41" s="33" t="n"/>
      <c r="X41" s="33" t="n"/>
      <c r="Y41" s="33" t="n"/>
      <c r="Z41" s="34" t="n"/>
      <c r="AA41" s="34" t="n"/>
      <c r="AB41" s="33" t="n"/>
      <c r="AC41" s="33" t="n"/>
      <c r="AD41" s="35">
        <f>IF(P41="","",P41-LN(7))</f>
        <v/>
      </c>
      <c r="AE41" s="35">
        <f>IF(OR(T41="",S41=""),"",T41-S41)</f>
        <v/>
      </c>
      <c r="AF41" s="35">
        <f>IF(OR(V41="",Seeds!$C$8=""),"",V41-Seeds!$C$8)</f>
        <v/>
      </c>
      <c r="AG41" s="35">
        <f>IF(OR(AF41="",Seeds!$C$10=""),"",IF(ABS(AF41)&gt;Seeds!$C$10,"Có","Không"))</f>
        <v/>
      </c>
    </row>
    <row r="42" ht="15" customHeight="1" s="20">
      <c r="A42" s="33" t="n"/>
      <c r="B42" s="33" t="n"/>
      <c r="C42" s="33" t="n"/>
      <c r="D42" s="33" t="n"/>
      <c r="E42" s="33" t="n"/>
      <c r="F42" s="33" t="n"/>
      <c r="G42" s="33" t="n"/>
      <c r="H42" s="33" t="n"/>
      <c r="I42" s="33" t="n"/>
      <c r="J42" s="33" t="n"/>
      <c r="K42" s="33" t="n"/>
      <c r="L42" s="33" t="n"/>
      <c r="M42" s="33" t="n"/>
      <c r="N42" s="33" t="n"/>
      <c r="O42" s="33" t="n"/>
      <c r="P42" s="34" t="n"/>
      <c r="Q42" s="34" t="n"/>
      <c r="R42" s="33" t="n"/>
      <c r="S42" s="34" t="n"/>
      <c r="T42" s="34" t="n"/>
      <c r="U42" s="34" t="n"/>
      <c r="V42" s="34" t="n"/>
      <c r="W42" s="33" t="n"/>
      <c r="X42" s="33" t="n"/>
      <c r="Y42" s="33" t="n"/>
      <c r="Z42" s="34" t="n"/>
      <c r="AA42" s="34" t="n"/>
      <c r="AB42" s="33" t="n"/>
      <c r="AC42" s="33" t="n"/>
      <c r="AD42" s="35">
        <f>IF(P42="","",P42-LN(7))</f>
        <v/>
      </c>
      <c r="AE42" s="35">
        <f>IF(OR(T42="",S42=""),"",T42-S42)</f>
        <v/>
      </c>
      <c r="AF42" s="35">
        <f>IF(OR(V42="",Seeds!$C$8=""),"",V42-Seeds!$C$8)</f>
        <v/>
      </c>
      <c r="AG42" s="35">
        <f>IF(OR(AF42="",Seeds!$C$10=""),"",IF(ABS(AF42)&gt;Seeds!$C$10,"Có","Không"))</f>
        <v/>
      </c>
    </row>
    <row r="43" ht="15" customHeight="1" s="20">
      <c r="A43" s="33" t="n"/>
      <c r="B43" s="33" t="n"/>
      <c r="C43" s="33" t="n"/>
      <c r="D43" s="33" t="n"/>
      <c r="E43" s="33" t="n"/>
      <c r="F43" s="33" t="n"/>
      <c r="G43" s="33" t="n"/>
      <c r="H43" s="33" t="n"/>
      <c r="I43" s="33" t="n"/>
      <c r="J43" s="33" t="n"/>
      <c r="K43" s="33" t="n"/>
      <c r="L43" s="33" t="n"/>
      <c r="M43" s="33" t="n"/>
      <c r="N43" s="33" t="n"/>
      <c r="O43" s="33" t="n"/>
      <c r="P43" s="34" t="n"/>
      <c r="Q43" s="34" t="n"/>
      <c r="R43" s="33" t="n"/>
      <c r="S43" s="34" t="n"/>
      <c r="T43" s="34" t="n"/>
      <c r="U43" s="34" t="n"/>
      <c r="V43" s="34" t="n"/>
      <c r="W43" s="33" t="n"/>
      <c r="X43" s="33" t="n"/>
      <c r="Y43" s="33" t="n"/>
      <c r="Z43" s="34" t="n"/>
      <c r="AA43" s="34" t="n"/>
      <c r="AB43" s="33" t="n"/>
      <c r="AC43" s="33" t="n"/>
      <c r="AD43" s="35">
        <f>IF(P43="","",P43-LN(7))</f>
        <v/>
      </c>
      <c r="AE43" s="35">
        <f>IF(OR(T43="",S43=""),"",T43-S43)</f>
        <v/>
      </c>
      <c r="AF43" s="35">
        <f>IF(OR(V43="",Seeds!$C$8=""),"",V43-Seeds!$C$8)</f>
        <v/>
      </c>
      <c r="AG43" s="35">
        <f>IF(OR(AF43="",Seeds!$C$10=""),"",IF(ABS(AF43)&gt;Seeds!$C$10,"Có","Không"))</f>
        <v/>
      </c>
    </row>
    <row r="44" ht="15" customHeight="1" s="20">
      <c r="A44" s="33" t="n"/>
      <c r="B44" s="33" t="n"/>
      <c r="C44" s="33" t="n"/>
      <c r="D44" s="33" t="n"/>
      <c r="E44" s="33" t="n"/>
      <c r="F44" s="33" t="n"/>
      <c r="G44" s="33" t="n"/>
      <c r="H44" s="33" t="n"/>
      <c r="I44" s="33" t="n"/>
      <c r="J44" s="33" t="n"/>
      <c r="K44" s="33" t="n"/>
      <c r="L44" s="33" t="n"/>
      <c r="M44" s="33" t="n"/>
      <c r="N44" s="33" t="n"/>
      <c r="O44" s="33" t="n"/>
      <c r="P44" s="34" t="n"/>
      <c r="Q44" s="34" t="n"/>
      <c r="R44" s="33" t="n"/>
      <c r="S44" s="34" t="n"/>
      <c r="T44" s="34" t="n"/>
      <c r="U44" s="34" t="n"/>
      <c r="V44" s="34" t="n"/>
      <c r="W44" s="33" t="n"/>
      <c r="X44" s="33" t="n"/>
      <c r="Y44" s="33" t="n"/>
      <c r="Z44" s="34" t="n"/>
      <c r="AA44" s="34" t="n"/>
      <c r="AB44" s="33" t="n"/>
      <c r="AC44" s="33" t="n"/>
      <c r="AD44" s="35">
        <f>IF(P44="","",P44-LN(7))</f>
        <v/>
      </c>
      <c r="AE44" s="35">
        <f>IF(OR(T44="",S44=""),"",T44-S44)</f>
        <v/>
      </c>
      <c r="AF44" s="35">
        <f>IF(OR(V44="",Seeds!$C$8=""),"",V44-Seeds!$C$8)</f>
        <v/>
      </c>
      <c r="AG44" s="35">
        <f>IF(OR(AF44="",Seeds!$C$10=""),"",IF(ABS(AF44)&gt;Seeds!$C$10,"Có","Không"))</f>
        <v/>
      </c>
    </row>
    <row r="45" ht="15" customHeight="1" s="20">
      <c r="A45" s="33" t="n"/>
      <c r="B45" s="33" t="n"/>
      <c r="C45" s="33" t="n"/>
      <c r="D45" s="33" t="n"/>
      <c r="E45" s="33" t="n"/>
      <c r="F45" s="33" t="n"/>
      <c r="G45" s="33" t="n"/>
      <c r="H45" s="33" t="n"/>
      <c r="I45" s="33" t="n"/>
      <c r="J45" s="33" t="n"/>
      <c r="K45" s="33" t="n"/>
      <c r="L45" s="33" t="n"/>
      <c r="M45" s="33" t="n"/>
      <c r="N45" s="33" t="n"/>
      <c r="O45" s="33" t="n"/>
      <c r="P45" s="34" t="n"/>
      <c r="Q45" s="34" t="n"/>
      <c r="R45" s="33" t="n"/>
      <c r="S45" s="34" t="n"/>
      <c r="T45" s="34" t="n"/>
      <c r="U45" s="34" t="n"/>
      <c r="V45" s="34" t="n"/>
      <c r="W45" s="33" t="n"/>
      <c r="X45" s="33" t="n"/>
      <c r="Y45" s="33" t="n"/>
      <c r="Z45" s="34" t="n"/>
      <c r="AA45" s="34" t="n"/>
      <c r="AB45" s="33" t="n"/>
      <c r="AC45" s="33" t="n"/>
      <c r="AD45" s="35">
        <f>IF(P45="","",P45-LN(7))</f>
        <v/>
      </c>
      <c r="AE45" s="35">
        <f>IF(OR(T45="",S45=""),"",T45-S45)</f>
        <v/>
      </c>
      <c r="AF45" s="35">
        <f>IF(OR(V45="",Seeds!$C$8=""),"",V45-Seeds!$C$8)</f>
        <v/>
      </c>
      <c r="AG45" s="35">
        <f>IF(OR(AF45="",Seeds!$C$10=""),"",IF(ABS(AF45)&gt;Seeds!$C$10,"Có","Không"))</f>
        <v/>
      </c>
    </row>
    <row r="46" ht="15" customHeight="1" s="20">
      <c r="A46" s="33" t="n"/>
      <c r="B46" s="33" t="n"/>
      <c r="C46" s="33" t="n"/>
      <c r="D46" s="33" t="n"/>
      <c r="E46" s="33" t="n"/>
      <c r="F46" s="33" t="n"/>
      <c r="G46" s="33" t="n"/>
      <c r="H46" s="33" t="n"/>
      <c r="I46" s="33" t="n"/>
      <c r="J46" s="33" t="n"/>
      <c r="K46" s="33" t="n"/>
      <c r="L46" s="33" t="n"/>
      <c r="M46" s="33" t="n"/>
      <c r="N46" s="33" t="n"/>
      <c r="O46" s="33" t="n"/>
      <c r="P46" s="34" t="n"/>
      <c r="Q46" s="34" t="n"/>
      <c r="R46" s="33" t="n"/>
      <c r="S46" s="34" t="n"/>
      <c r="T46" s="34" t="n"/>
      <c r="U46" s="34" t="n"/>
      <c r="V46" s="34" t="n"/>
      <c r="W46" s="33" t="n"/>
      <c r="X46" s="33" t="n"/>
      <c r="Y46" s="33" t="n"/>
      <c r="Z46" s="34" t="n"/>
      <c r="AA46" s="34" t="n"/>
      <c r="AB46" s="33" t="n"/>
      <c r="AC46" s="33" t="n"/>
      <c r="AD46" s="35">
        <f>IF(P46="","",P46-LN(7))</f>
        <v/>
      </c>
      <c r="AE46" s="35">
        <f>IF(OR(T46="",S46=""),"",T46-S46)</f>
        <v/>
      </c>
      <c r="AF46" s="35">
        <f>IF(OR(V46="",Seeds!$C$8=""),"",V46-Seeds!$C$8)</f>
        <v/>
      </c>
      <c r="AG46" s="35">
        <f>IF(OR(AF46="",Seeds!$C$10=""),"",IF(ABS(AF46)&gt;Seeds!$C$10,"Có","Không"))</f>
        <v/>
      </c>
    </row>
    <row r="47" ht="15" customHeight="1" s="20">
      <c r="A47" s="33" t="n"/>
      <c r="B47" s="33" t="n"/>
      <c r="C47" s="33" t="n"/>
      <c r="D47" s="33" t="n"/>
      <c r="E47" s="33" t="n"/>
      <c r="F47" s="33" t="n"/>
      <c r="G47" s="33" t="n"/>
      <c r="H47" s="33" t="n"/>
      <c r="I47" s="33" t="n"/>
      <c r="J47" s="33" t="n"/>
      <c r="K47" s="33" t="n"/>
      <c r="L47" s="33" t="n"/>
      <c r="M47" s="33" t="n"/>
      <c r="N47" s="33" t="n"/>
      <c r="O47" s="33" t="n"/>
      <c r="P47" s="34" t="n"/>
      <c r="Q47" s="34" t="n"/>
      <c r="R47" s="33" t="n"/>
      <c r="S47" s="34" t="n"/>
      <c r="T47" s="34" t="n"/>
      <c r="U47" s="34" t="n"/>
      <c r="V47" s="34" t="n"/>
      <c r="W47" s="33" t="n"/>
      <c r="X47" s="33" t="n"/>
      <c r="Y47" s="33" t="n"/>
      <c r="Z47" s="34" t="n"/>
      <c r="AA47" s="34" t="n"/>
      <c r="AB47" s="33" t="n"/>
      <c r="AC47" s="33" t="n"/>
      <c r="AD47" s="35">
        <f>IF(P47="","",P47-LN(7))</f>
        <v/>
      </c>
      <c r="AE47" s="35">
        <f>IF(OR(T47="",S47=""),"",T47-S47)</f>
        <v/>
      </c>
      <c r="AF47" s="35">
        <f>IF(OR(V47="",Seeds!$C$8=""),"",V47-Seeds!$C$8)</f>
        <v/>
      </c>
      <c r="AG47" s="35">
        <f>IF(OR(AF47="",Seeds!$C$10=""),"",IF(ABS(AF47)&gt;Seeds!$C$10,"Có","Không"))</f>
        <v/>
      </c>
    </row>
    <row r="48" ht="15" customHeight="1" s="20">
      <c r="A48" s="33" t="n"/>
      <c r="B48" s="33" t="n"/>
      <c r="C48" s="33" t="n"/>
      <c r="D48" s="33" t="n"/>
      <c r="E48" s="33" t="n"/>
      <c r="F48" s="33" t="n"/>
      <c r="G48" s="33" t="n"/>
      <c r="H48" s="33" t="n"/>
      <c r="I48" s="33" t="n"/>
      <c r="J48" s="33" t="n"/>
      <c r="K48" s="33" t="n"/>
      <c r="L48" s="33" t="n"/>
      <c r="M48" s="33" t="n"/>
      <c r="N48" s="33" t="n"/>
      <c r="O48" s="33" t="n"/>
      <c r="P48" s="34" t="n"/>
      <c r="Q48" s="34" t="n"/>
      <c r="R48" s="33" t="n"/>
      <c r="S48" s="34" t="n"/>
      <c r="T48" s="34" t="n"/>
      <c r="U48" s="34" t="n"/>
      <c r="V48" s="34" t="n"/>
      <c r="W48" s="33" t="n"/>
      <c r="X48" s="33" t="n"/>
      <c r="Y48" s="33" t="n"/>
      <c r="Z48" s="34" t="n"/>
      <c r="AA48" s="34" t="n"/>
      <c r="AB48" s="33" t="n"/>
      <c r="AC48" s="33" t="n"/>
      <c r="AD48" s="35">
        <f>IF(P48="","",P48-LN(7))</f>
        <v/>
      </c>
      <c r="AE48" s="35">
        <f>IF(OR(T48="",S48=""),"",T48-S48)</f>
        <v/>
      </c>
      <c r="AF48" s="35">
        <f>IF(OR(V48="",Seeds!$C$8=""),"",V48-Seeds!$C$8)</f>
        <v/>
      </c>
      <c r="AG48" s="35">
        <f>IF(OR(AF48="",Seeds!$C$10=""),"",IF(ABS(AF48)&gt;Seeds!$C$10,"Có","Không"))</f>
        <v/>
      </c>
    </row>
    <row r="49" ht="15" customHeight="1" s="20">
      <c r="A49" s="33" t="n"/>
      <c r="B49" s="33" t="n"/>
      <c r="C49" s="33" t="n"/>
      <c r="D49" s="33" t="n"/>
      <c r="E49" s="33" t="n"/>
      <c r="F49" s="33" t="n"/>
      <c r="G49" s="33" t="n"/>
      <c r="H49" s="33" t="n"/>
      <c r="I49" s="33" t="n"/>
      <c r="J49" s="33" t="n"/>
      <c r="K49" s="33" t="n"/>
      <c r="L49" s="33" t="n"/>
      <c r="M49" s="33" t="n"/>
      <c r="N49" s="33" t="n"/>
      <c r="O49" s="33" t="n"/>
      <c r="P49" s="34" t="n"/>
      <c r="Q49" s="34" t="n"/>
      <c r="R49" s="33" t="n"/>
      <c r="S49" s="34" t="n"/>
      <c r="T49" s="34" t="n"/>
      <c r="U49" s="34" t="n"/>
      <c r="V49" s="34" t="n"/>
      <c r="W49" s="33" t="n"/>
      <c r="X49" s="33" t="n"/>
      <c r="Y49" s="33" t="n"/>
      <c r="Z49" s="34" t="n"/>
      <c r="AA49" s="34" t="n"/>
      <c r="AB49" s="33" t="n"/>
      <c r="AC49" s="33" t="n"/>
      <c r="AD49" s="35">
        <f>IF(P49="","",P49-LN(7))</f>
        <v/>
      </c>
      <c r="AE49" s="35">
        <f>IF(OR(T49="",S49=""),"",T49-S49)</f>
        <v/>
      </c>
      <c r="AF49" s="35">
        <f>IF(OR(V49="",Seeds!$C$8=""),"",V49-Seeds!$C$8)</f>
        <v/>
      </c>
      <c r="AG49" s="35">
        <f>IF(OR(AF49="",Seeds!$C$10=""),"",IF(ABS(AF49)&gt;Seeds!$C$10,"Có","Không"))</f>
        <v/>
      </c>
    </row>
    <row r="50" ht="15" customHeight="1" s="20">
      <c r="A50" s="33" t="n"/>
      <c r="B50" s="33" t="n"/>
      <c r="C50" s="33" t="n"/>
      <c r="D50" s="33" t="n"/>
      <c r="E50" s="33" t="n"/>
      <c r="F50" s="33" t="n"/>
      <c r="G50" s="33" t="n"/>
      <c r="H50" s="33" t="n"/>
      <c r="I50" s="33" t="n"/>
      <c r="J50" s="33" t="n"/>
      <c r="K50" s="33" t="n"/>
      <c r="L50" s="33" t="n"/>
      <c r="M50" s="33" t="n"/>
      <c r="N50" s="33" t="n"/>
      <c r="O50" s="33" t="n"/>
      <c r="P50" s="34" t="n"/>
      <c r="Q50" s="34" t="n"/>
      <c r="R50" s="33" t="n"/>
      <c r="S50" s="34" t="n"/>
      <c r="T50" s="34" t="n"/>
      <c r="U50" s="34" t="n"/>
      <c r="V50" s="34" t="n"/>
      <c r="W50" s="33" t="n"/>
      <c r="X50" s="33" t="n"/>
      <c r="Y50" s="33" t="n"/>
      <c r="Z50" s="34" t="n"/>
      <c r="AA50" s="34" t="n"/>
      <c r="AB50" s="33" t="n"/>
      <c r="AC50" s="33" t="n"/>
      <c r="AD50" s="35">
        <f>IF(P50="","",P50-LN(7))</f>
        <v/>
      </c>
      <c r="AE50" s="35">
        <f>IF(OR(T50="",S50=""),"",T50-S50)</f>
        <v/>
      </c>
      <c r="AF50" s="35">
        <f>IF(OR(V50="",Seeds!$C$8=""),"",V50-Seeds!$C$8)</f>
        <v/>
      </c>
      <c r="AG50" s="35">
        <f>IF(OR(AF50="",Seeds!$C$10=""),"",IF(ABS(AF50)&gt;Seeds!$C$10,"Có","Không"))</f>
        <v/>
      </c>
    </row>
    <row r="51" ht="15" customHeight="1" s="20">
      <c r="A51" s="33" t="n"/>
      <c r="B51" s="33" t="n"/>
      <c r="C51" s="33" t="n"/>
      <c r="D51" s="33" t="n"/>
      <c r="E51" s="33" t="n"/>
      <c r="F51" s="33" t="n"/>
      <c r="G51" s="33" t="n"/>
      <c r="H51" s="33" t="n"/>
      <c r="I51" s="33" t="n"/>
      <c r="J51" s="33" t="n"/>
      <c r="K51" s="33" t="n"/>
      <c r="L51" s="33" t="n"/>
      <c r="M51" s="33" t="n"/>
      <c r="N51" s="33" t="n"/>
      <c r="O51" s="33" t="n"/>
      <c r="P51" s="34" t="n"/>
      <c r="Q51" s="34" t="n"/>
      <c r="R51" s="33" t="n"/>
      <c r="S51" s="34" t="n"/>
      <c r="T51" s="34" t="n"/>
      <c r="U51" s="34" t="n"/>
      <c r="V51" s="34" t="n"/>
      <c r="W51" s="33" t="n"/>
      <c r="X51" s="33" t="n"/>
      <c r="Y51" s="33" t="n"/>
      <c r="Z51" s="34" t="n"/>
      <c r="AA51" s="34" t="n"/>
      <c r="AB51" s="33" t="n"/>
      <c r="AC51" s="33" t="n"/>
      <c r="AD51" s="35">
        <f>IF(P51="","",P51-LN(7))</f>
        <v/>
      </c>
      <c r="AE51" s="35">
        <f>IF(OR(T51="",S51=""),"",T51-S51)</f>
        <v/>
      </c>
      <c r="AF51" s="35">
        <f>IF(OR(V51="",Seeds!$C$8=""),"",V51-Seeds!$C$8)</f>
        <v/>
      </c>
      <c r="AG51" s="35">
        <f>IF(OR(AF51="",Seeds!$C$10=""),"",IF(ABS(AF51)&gt;Seeds!$C$10,"Có","Không"))</f>
        <v/>
      </c>
    </row>
    <row r="52" ht="15" customHeight="1" s="20">
      <c r="A52" s="33" t="n"/>
      <c r="B52" s="33" t="n"/>
      <c r="C52" s="33" t="n"/>
      <c r="D52" s="33" t="n"/>
      <c r="E52" s="33" t="n"/>
      <c r="F52" s="33" t="n"/>
      <c r="G52" s="33" t="n"/>
      <c r="H52" s="33" t="n"/>
      <c r="I52" s="33" t="n"/>
      <c r="J52" s="33" t="n"/>
      <c r="K52" s="33" t="n"/>
      <c r="L52" s="33" t="n"/>
      <c r="M52" s="33" t="n"/>
      <c r="N52" s="33" t="n"/>
      <c r="O52" s="33" t="n"/>
      <c r="P52" s="34" t="n"/>
      <c r="Q52" s="34" t="n"/>
      <c r="R52" s="33" t="n"/>
      <c r="S52" s="34" t="n"/>
      <c r="T52" s="34" t="n"/>
      <c r="U52" s="34" t="n"/>
      <c r="V52" s="34" t="n"/>
      <c r="W52" s="33" t="n"/>
      <c r="X52" s="33" t="n"/>
      <c r="Y52" s="33" t="n"/>
      <c r="Z52" s="34" t="n"/>
      <c r="AA52" s="34" t="n"/>
      <c r="AB52" s="33" t="n"/>
      <c r="AC52" s="33" t="n"/>
      <c r="AD52" s="35">
        <f>IF(P52="","",P52-LN(7))</f>
        <v/>
      </c>
      <c r="AE52" s="35">
        <f>IF(OR(T52="",S52=""),"",T52-S52)</f>
        <v/>
      </c>
      <c r="AF52" s="35">
        <f>IF(OR(V52="",Seeds!$C$8=""),"",V52-Seeds!$C$8)</f>
        <v/>
      </c>
      <c r="AG52" s="35">
        <f>IF(OR(AF52="",Seeds!$C$10=""),"",IF(ABS(AF52)&gt;Seeds!$C$10,"Có","Không"))</f>
        <v/>
      </c>
    </row>
    <row r="53" ht="15" customHeight="1" s="20">
      <c r="A53" s="33" t="n"/>
      <c r="B53" s="33" t="n"/>
      <c r="C53" s="33" t="n"/>
      <c r="D53" s="33" t="n"/>
      <c r="E53" s="33" t="n"/>
      <c r="F53" s="33" t="n"/>
      <c r="G53" s="33" t="n"/>
      <c r="H53" s="33" t="n"/>
      <c r="I53" s="33" t="n"/>
      <c r="J53" s="33" t="n"/>
      <c r="K53" s="33" t="n"/>
      <c r="L53" s="33" t="n"/>
      <c r="M53" s="33" t="n"/>
      <c r="N53" s="33" t="n"/>
      <c r="O53" s="33" t="n"/>
      <c r="P53" s="34" t="n"/>
      <c r="Q53" s="34" t="n"/>
      <c r="R53" s="33" t="n"/>
      <c r="S53" s="34" t="n"/>
      <c r="T53" s="34" t="n"/>
      <c r="U53" s="34" t="n"/>
      <c r="V53" s="34" t="n"/>
      <c r="W53" s="33" t="n"/>
      <c r="X53" s="33" t="n"/>
      <c r="Y53" s="33" t="n"/>
      <c r="Z53" s="34" t="n"/>
      <c r="AA53" s="34" t="n"/>
      <c r="AB53" s="33" t="n"/>
      <c r="AC53" s="33" t="n"/>
      <c r="AD53" s="35">
        <f>IF(P53="","",P53-LN(7))</f>
        <v/>
      </c>
      <c r="AE53" s="35">
        <f>IF(OR(T53="",S53=""),"",T53-S53)</f>
        <v/>
      </c>
      <c r="AF53" s="35">
        <f>IF(OR(V53="",Seeds!$C$8=""),"",V53-Seeds!$C$8)</f>
        <v/>
      </c>
      <c r="AG53" s="35">
        <f>IF(OR(AF53="",Seeds!$C$10=""),"",IF(ABS(AF53)&gt;Seeds!$C$10,"Có","Không"))</f>
        <v/>
      </c>
    </row>
    <row r="54" ht="15" customHeight="1" s="20">
      <c r="A54" s="33" t="n"/>
      <c r="B54" s="33" t="n"/>
      <c r="C54" s="33" t="n"/>
      <c r="D54" s="33" t="n"/>
      <c r="E54" s="33" t="n"/>
      <c r="F54" s="33" t="n"/>
      <c r="G54" s="33" t="n"/>
      <c r="H54" s="33" t="n"/>
      <c r="I54" s="33" t="n"/>
      <c r="J54" s="33" t="n"/>
      <c r="K54" s="33" t="n"/>
      <c r="L54" s="33" t="n"/>
      <c r="M54" s="33" t="n"/>
      <c r="N54" s="33" t="n"/>
      <c r="O54" s="33" t="n"/>
      <c r="P54" s="34" t="n"/>
      <c r="Q54" s="34" t="n"/>
      <c r="R54" s="33" t="n"/>
      <c r="S54" s="34" t="n"/>
      <c r="T54" s="34" t="n"/>
      <c r="U54" s="34" t="n"/>
      <c r="V54" s="34" t="n"/>
      <c r="W54" s="33" t="n"/>
      <c r="X54" s="33" t="n"/>
      <c r="Y54" s="33" t="n"/>
      <c r="Z54" s="34" t="n"/>
      <c r="AA54" s="34" t="n"/>
      <c r="AB54" s="33" t="n"/>
      <c r="AC54" s="33" t="n"/>
      <c r="AD54" s="35">
        <f>IF(P54="","",P54-LN(7))</f>
        <v/>
      </c>
      <c r="AE54" s="35">
        <f>IF(OR(T54="",S54=""),"",T54-S54)</f>
        <v/>
      </c>
      <c r="AF54" s="35">
        <f>IF(OR(V54="",Seeds!$C$8=""),"",V54-Seeds!$C$8)</f>
        <v/>
      </c>
      <c r="AG54" s="35">
        <f>IF(OR(AF54="",Seeds!$C$10=""),"",IF(ABS(AF54)&gt;Seeds!$C$10,"Có","Không"))</f>
        <v/>
      </c>
    </row>
    <row r="55" ht="15" customHeight="1" s="20">
      <c r="A55" s="33" t="n"/>
      <c r="B55" s="33" t="n"/>
      <c r="C55" s="33" t="n"/>
      <c r="D55" s="33" t="n"/>
      <c r="E55" s="33" t="n"/>
      <c r="F55" s="33" t="n"/>
      <c r="G55" s="33" t="n"/>
      <c r="H55" s="33" t="n"/>
      <c r="I55" s="33" t="n"/>
      <c r="J55" s="33" t="n"/>
      <c r="K55" s="33" t="n"/>
      <c r="L55" s="33" t="n"/>
      <c r="M55" s="33" t="n"/>
      <c r="N55" s="33" t="n"/>
      <c r="O55" s="33" t="n"/>
      <c r="P55" s="34" t="n"/>
      <c r="Q55" s="34" t="n"/>
      <c r="R55" s="33" t="n"/>
      <c r="S55" s="34" t="n"/>
      <c r="T55" s="34" t="n"/>
      <c r="U55" s="34" t="n"/>
      <c r="V55" s="34" t="n"/>
      <c r="W55" s="33" t="n"/>
      <c r="X55" s="33" t="n"/>
      <c r="Y55" s="33" t="n"/>
      <c r="Z55" s="34" t="n"/>
      <c r="AA55" s="34" t="n"/>
      <c r="AB55" s="33" t="n"/>
      <c r="AC55" s="33" t="n"/>
      <c r="AD55" s="35">
        <f>IF(P55="","",P55-LN(7))</f>
        <v/>
      </c>
      <c r="AE55" s="35">
        <f>IF(OR(T55="",S55=""),"",T55-S55)</f>
        <v/>
      </c>
      <c r="AF55" s="35">
        <f>IF(OR(V55="",Seeds!$C$8=""),"",V55-Seeds!$C$8)</f>
        <v/>
      </c>
      <c r="AG55" s="35">
        <f>IF(OR(AF55="",Seeds!$C$10=""),"",IF(ABS(AF55)&gt;Seeds!$C$10,"Có","Không"))</f>
        <v/>
      </c>
    </row>
    <row r="56" ht="15" customHeight="1" s="20">
      <c r="A56" s="33" t="n"/>
      <c r="B56" s="33" t="n"/>
      <c r="C56" s="33" t="n"/>
      <c r="D56" s="33" t="n"/>
      <c r="E56" s="33" t="n"/>
      <c r="F56" s="33" t="n"/>
      <c r="G56" s="33" t="n"/>
      <c r="H56" s="33" t="n"/>
      <c r="I56" s="33" t="n"/>
      <c r="J56" s="33" t="n"/>
      <c r="K56" s="33" t="n"/>
      <c r="L56" s="33" t="n"/>
      <c r="M56" s="33" t="n"/>
      <c r="N56" s="33" t="n"/>
      <c r="O56" s="33" t="n"/>
      <c r="P56" s="34" t="n"/>
      <c r="Q56" s="34" t="n"/>
      <c r="R56" s="33" t="n"/>
      <c r="S56" s="34" t="n"/>
      <c r="T56" s="34" t="n"/>
      <c r="U56" s="34" t="n"/>
      <c r="V56" s="34" t="n"/>
      <c r="W56" s="33" t="n"/>
      <c r="X56" s="33" t="n"/>
      <c r="Y56" s="33" t="n"/>
      <c r="Z56" s="34" t="n"/>
      <c r="AA56" s="34" t="n"/>
      <c r="AB56" s="33" t="n"/>
      <c r="AC56" s="33" t="n"/>
      <c r="AD56" s="35">
        <f>IF(P56="","",P56-LN(7))</f>
        <v/>
      </c>
      <c r="AE56" s="35">
        <f>IF(OR(T56="",S56=""),"",T56-S56)</f>
        <v/>
      </c>
      <c r="AF56" s="35">
        <f>IF(OR(V56="",Seeds!$C$8=""),"",V56-Seeds!$C$8)</f>
        <v/>
      </c>
      <c r="AG56" s="35">
        <f>IF(OR(AF56="",Seeds!$C$10=""),"",IF(ABS(AF56)&gt;Seeds!$C$10,"Có","Không"))</f>
        <v/>
      </c>
    </row>
    <row r="57" ht="15" customHeight="1" s="20">
      <c r="A57" s="33" t="n"/>
      <c r="B57" s="33" t="n"/>
      <c r="C57" s="33" t="n"/>
      <c r="D57" s="33" t="n"/>
      <c r="E57" s="33" t="n"/>
      <c r="F57" s="33" t="n"/>
      <c r="G57" s="33" t="n"/>
      <c r="H57" s="33" t="n"/>
      <c r="I57" s="33" t="n"/>
      <c r="J57" s="33" t="n"/>
      <c r="K57" s="33" t="n"/>
      <c r="L57" s="33" t="n"/>
      <c r="M57" s="33" t="n"/>
      <c r="N57" s="33" t="n"/>
      <c r="O57" s="33" t="n"/>
      <c r="P57" s="34" t="n"/>
      <c r="Q57" s="34" t="n"/>
      <c r="R57" s="33" t="n"/>
      <c r="S57" s="34" t="n"/>
      <c r="T57" s="34" t="n"/>
      <c r="U57" s="34" t="n"/>
      <c r="V57" s="34" t="n"/>
      <c r="W57" s="33" t="n"/>
      <c r="X57" s="33" t="n"/>
      <c r="Y57" s="33" t="n"/>
      <c r="Z57" s="34" t="n"/>
      <c r="AA57" s="34" t="n"/>
      <c r="AB57" s="33" t="n"/>
      <c r="AC57" s="33" t="n"/>
      <c r="AD57" s="35">
        <f>IF(P57="","",P57-LN(7))</f>
        <v/>
      </c>
      <c r="AE57" s="35">
        <f>IF(OR(T57="",S57=""),"",T57-S57)</f>
        <v/>
      </c>
      <c r="AF57" s="35">
        <f>IF(OR(V57="",Seeds!$C$8=""),"",V57-Seeds!$C$8)</f>
        <v/>
      </c>
      <c r="AG57" s="35">
        <f>IF(OR(AF57="",Seeds!$C$10=""),"",IF(ABS(AF57)&gt;Seeds!$C$10,"Có","Không"))</f>
        <v/>
      </c>
    </row>
    <row r="58" ht="15" customHeight="1" s="20">
      <c r="A58" s="33" t="n"/>
      <c r="B58" s="33" t="n"/>
      <c r="C58" s="33" t="n"/>
      <c r="D58" s="33" t="n"/>
      <c r="E58" s="33" t="n"/>
      <c r="F58" s="33" t="n"/>
      <c r="G58" s="33" t="n"/>
      <c r="H58" s="33" t="n"/>
      <c r="I58" s="33" t="n"/>
      <c r="J58" s="33" t="n"/>
      <c r="K58" s="33" t="n"/>
      <c r="L58" s="33" t="n"/>
      <c r="M58" s="33" t="n"/>
      <c r="N58" s="33" t="n"/>
      <c r="O58" s="33" t="n"/>
      <c r="P58" s="34" t="n"/>
      <c r="Q58" s="34" t="n"/>
      <c r="R58" s="33" t="n"/>
      <c r="S58" s="34" t="n"/>
      <c r="T58" s="34" t="n"/>
      <c r="U58" s="34" t="n"/>
      <c r="V58" s="34" t="n"/>
      <c r="W58" s="33" t="n"/>
      <c r="X58" s="33" t="n"/>
      <c r="Y58" s="33" t="n"/>
      <c r="Z58" s="34" t="n"/>
      <c r="AA58" s="34" t="n"/>
      <c r="AB58" s="33" t="n"/>
      <c r="AC58" s="33" t="n"/>
      <c r="AD58" s="35">
        <f>IF(P58="","",P58-LN(7))</f>
        <v/>
      </c>
      <c r="AE58" s="35">
        <f>IF(OR(T58="",S58=""),"",T58-S58)</f>
        <v/>
      </c>
      <c r="AF58" s="35">
        <f>IF(OR(V58="",Seeds!$C$8=""),"",V58-Seeds!$C$8)</f>
        <v/>
      </c>
      <c r="AG58" s="35">
        <f>IF(OR(AF58="",Seeds!$C$10=""),"",IF(ABS(AF58)&gt;Seeds!$C$10,"Có","Không"))</f>
        <v/>
      </c>
    </row>
    <row r="59" ht="15" customHeight="1" s="20">
      <c r="A59" s="33" t="n"/>
      <c r="B59" s="33" t="n"/>
      <c r="C59" s="33" t="n"/>
      <c r="D59" s="33" t="n"/>
      <c r="E59" s="33" t="n"/>
      <c r="F59" s="33" t="n"/>
      <c r="G59" s="33" t="n"/>
      <c r="H59" s="33" t="n"/>
      <c r="I59" s="33" t="n"/>
      <c r="J59" s="33" t="n"/>
      <c r="K59" s="33" t="n"/>
      <c r="L59" s="33" t="n"/>
      <c r="M59" s="33" t="n"/>
      <c r="N59" s="33" t="n"/>
      <c r="O59" s="33" t="n"/>
      <c r="P59" s="34" t="n"/>
      <c r="Q59" s="34" t="n"/>
      <c r="R59" s="33" t="n"/>
      <c r="S59" s="34" t="n"/>
      <c r="T59" s="34" t="n"/>
      <c r="U59" s="34" t="n"/>
      <c r="V59" s="34" t="n"/>
      <c r="W59" s="33" t="n"/>
      <c r="X59" s="33" t="n"/>
      <c r="Y59" s="33" t="n"/>
      <c r="Z59" s="34" t="n"/>
      <c r="AA59" s="34" t="n"/>
      <c r="AB59" s="33" t="n"/>
      <c r="AC59" s="33" t="n"/>
      <c r="AD59" s="35">
        <f>IF(P59="","",P59-LN(7))</f>
        <v/>
      </c>
      <c r="AE59" s="35">
        <f>IF(OR(T59="",S59=""),"",T59-S59)</f>
        <v/>
      </c>
      <c r="AF59" s="35">
        <f>IF(OR(V59="",Seeds!$C$8=""),"",V59-Seeds!$C$8)</f>
        <v/>
      </c>
      <c r="AG59" s="35">
        <f>IF(OR(AF59="",Seeds!$C$10=""),"",IF(ABS(AF59)&gt;Seeds!$C$10,"Có","Không"))</f>
        <v/>
      </c>
    </row>
    <row r="60" ht="15" customHeight="1" s="20">
      <c r="A60" s="33" t="n"/>
      <c r="B60" s="33" t="n"/>
      <c r="C60" s="33" t="n"/>
      <c r="D60" s="33" t="n"/>
      <c r="E60" s="33" t="n"/>
      <c r="F60" s="33" t="n"/>
      <c r="G60" s="33" t="n"/>
      <c r="H60" s="33" t="n"/>
      <c r="I60" s="33" t="n"/>
      <c r="J60" s="33" t="n"/>
      <c r="K60" s="33" t="n"/>
      <c r="L60" s="33" t="n"/>
      <c r="M60" s="33" t="n"/>
      <c r="N60" s="33" t="n"/>
      <c r="O60" s="33" t="n"/>
      <c r="P60" s="34" t="n"/>
      <c r="Q60" s="34" t="n"/>
      <c r="R60" s="33" t="n"/>
      <c r="S60" s="34" t="n"/>
      <c r="T60" s="34" t="n"/>
      <c r="U60" s="34" t="n"/>
      <c r="V60" s="34" t="n"/>
      <c r="W60" s="33" t="n"/>
      <c r="X60" s="33" t="n"/>
      <c r="Y60" s="33" t="n"/>
      <c r="Z60" s="34" t="n"/>
      <c r="AA60" s="34" t="n"/>
      <c r="AB60" s="33" t="n"/>
      <c r="AC60" s="33" t="n"/>
      <c r="AD60" s="35">
        <f>IF(P60="","",P60-LN(7))</f>
        <v/>
      </c>
      <c r="AE60" s="35">
        <f>IF(OR(T60="",S60=""),"",T60-S60)</f>
        <v/>
      </c>
      <c r="AF60" s="35">
        <f>IF(OR(V60="",Seeds!$C$8=""),"",V60-Seeds!$C$8)</f>
        <v/>
      </c>
      <c r="AG60" s="35">
        <f>IF(OR(AF60="",Seeds!$C$10=""),"",IF(ABS(AF60)&gt;Seeds!$C$10,"Có","Không"))</f>
        <v/>
      </c>
    </row>
    <row r="61" ht="15" customHeight="1" s="20">
      <c r="A61" s="33" t="n"/>
      <c r="B61" s="33" t="n"/>
      <c r="C61" s="33" t="n"/>
      <c r="D61" s="33" t="n"/>
      <c r="E61" s="33" t="n"/>
      <c r="F61" s="33" t="n"/>
      <c r="G61" s="33" t="n"/>
      <c r="H61" s="33" t="n"/>
      <c r="I61" s="33" t="n"/>
      <c r="J61" s="33" t="n"/>
      <c r="K61" s="33" t="n"/>
      <c r="L61" s="33" t="n"/>
      <c r="M61" s="33" t="n"/>
      <c r="N61" s="33" t="n"/>
      <c r="O61" s="33" t="n"/>
      <c r="P61" s="34" t="n"/>
      <c r="Q61" s="34" t="n"/>
      <c r="R61" s="33" t="n"/>
      <c r="S61" s="34" t="n"/>
      <c r="T61" s="34" t="n"/>
      <c r="U61" s="34" t="n"/>
      <c r="V61" s="34" t="n"/>
      <c r="W61" s="33" t="n"/>
      <c r="X61" s="33" t="n"/>
      <c r="Y61" s="33" t="n"/>
      <c r="Z61" s="34" t="n"/>
      <c r="AA61" s="34" t="n"/>
      <c r="AB61" s="33" t="n"/>
      <c r="AC61" s="33" t="n"/>
      <c r="AD61" s="35">
        <f>IF(P61="","",P61-LN(7))</f>
        <v/>
      </c>
      <c r="AE61" s="35">
        <f>IF(OR(T61="",S61=""),"",T61-S61)</f>
        <v/>
      </c>
      <c r="AF61" s="35">
        <f>IF(OR(V61="",Seeds!$C$8=""),"",V61-Seeds!$C$8)</f>
        <v/>
      </c>
      <c r="AG61" s="35">
        <f>IF(OR(AF61="",Seeds!$C$10=""),"",IF(ABS(AF61)&gt;Seeds!$C$10,"Có","Không"))</f>
        <v/>
      </c>
    </row>
  </sheetData>
  <autoFilter ref="A1:AG61"/>
  <dataValidations count="6">
    <dataValidation sqref="B2:B61" showDropDown="0" showInputMessage="0" showErrorMessage="0" allowBlank="1" type="list" errorStyle="stop" operator="between">
      <formula1>"baseline,loss,optimizer,hparam,dropout,clipping,amp,init,final,other"</formula1>
      <formula2>0</formula2>
    </dataValidation>
    <dataValidation sqref="D2:D61" showDropDown="0" showInputMessage="0" showErrorMessage="0" allowBlank="1" type="list" errorStyle="stop" operator="between">
      <formula1>"CE,MSE"</formula1>
      <formula2>0</formula2>
    </dataValidation>
    <dataValidation sqref="E2:E61" showDropDown="0" showInputMessage="0" showErrorMessage="0" allowBlank="1" type="list" errorStyle="stop" operator="between">
      <formula1>"SGD,SGD+momentum,Adam,AdamW"</formula1>
      <formula2>0</formula2>
    </dataValidation>
    <dataValidation sqref="M2:M61" showDropDown="0" showInputMessage="0" showErrorMessage="0" allowBlank="1" type="list" errorStyle="stop" operator="between">
      <formula1>"fp32,fp16,bf16"</formula1>
      <formula2>0</formula2>
    </dataValidation>
    <dataValidation sqref="N2:N61" showDropDown="0" showInputMessage="0" showErrorMessage="0" allowBlank="1" type="list" errorStyle="stop" operator="between">
      <formula1>"zeros,normal,xavier,he,default"</formula1>
      <formula2>0</formula2>
    </dataValidation>
    <dataValidation sqref="Y2:Y61" showDropDown="0" showInputMessage="0" showErrorMessage="0" allowBlank="1" type="list" errorStyle="stop" operator="between">
      <formula1>"Y,N"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D1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26" customWidth="1" style="19" min="1" max="1"/>
    <col width="16" customWidth="1" style="19" min="2" max="4"/>
  </cols>
  <sheetData>
    <row r="1" ht="30" customHeight="1" s="20">
      <c r="A1" s="27" t="inlineStr">
        <is>
          <t>exp_id baseline (nhập)</t>
        </is>
      </c>
      <c r="B1" s="27" t="inlineStr">
        <is>
          <t>val_acc</t>
        </is>
      </c>
      <c r="C1" s="27" t="inlineStr">
        <is>
          <t>val_macro_f1</t>
        </is>
      </c>
      <c r="D1" s="27" t="inlineStr">
        <is>
          <t>best_val_loss</t>
        </is>
      </c>
    </row>
    <row r="2" ht="15" customHeight="1" s="20">
      <c r="A2" s="32" t="inlineStr">
        <is>
          <t>base-s1</t>
        </is>
      </c>
      <c r="B2" s="35">
        <f>IF($A2="","",IFERROR(IF(INDEX(Experiments!$U$2:$U$61,MATCH($A2,Experiments!$A$2:$A$61,0))="","",INDEX(Experiments!$U$2:$U$61,MATCH($A2,Experiments!$A$2:$A$61,0))),""))</f>
        <v/>
      </c>
      <c r="C2" s="35">
        <f>IF($A2="","",IFERROR(IF(INDEX(Experiments!$V$2:$V$61,MATCH($A2,Experiments!$A$2:$A$61,0))="","",INDEX(Experiments!$V$2:$V$61,MATCH($A2,Experiments!$A$2:$A$61,0))),""))</f>
        <v/>
      </c>
      <c r="D2" s="35">
        <f>IF($A2="","",IFERROR(IF(INDEX(Experiments!$Q$2:$Q$61,MATCH($A2,Experiments!$A$2:$A$61,0))="","",INDEX(Experiments!$Q$2:$Q$61,MATCH($A2,Experiments!$A$2:$A$61,0))),""))</f>
        <v/>
      </c>
    </row>
    <row r="3" ht="15" customHeight="1" s="20">
      <c r="A3" s="32" t="inlineStr">
        <is>
          <t>base-s2</t>
        </is>
      </c>
      <c r="B3" s="35">
        <f>IF($A3="","",IFERROR(IF(INDEX(Experiments!$U$2:$U$61,MATCH($A3,Experiments!$A$2:$A$61,0))="","",INDEX(Experiments!$U$2:$U$61,MATCH($A3,Experiments!$A$2:$A$61,0))),""))</f>
        <v/>
      </c>
      <c r="C3" s="35">
        <f>IF($A3="","",IFERROR(IF(INDEX(Experiments!$V$2:$V$61,MATCH($A3,Experiments!$A$2:$A$61,0))="","",INDEX(Experiments!$V$2:$V$61,MATCH($A3,Experiments!$A$2:$A$61,0))),""))</f>
        <v/>
      </c>
      <c r="D3" s="35">
        <f>IF($A3="","",IFERROR(IF(INDEX(Experiments!$Q$2:$Q$61,MATCH($A3,Experiments!$A$2:$A$61,0))="","",INDEX(Experiments!$Q$2:$Q$61,MATCH($A3,Experiments!$A$2:$A$61,0))),""))</f>
        <v/>
      </c>
    </row>
    <row r="4" ht="15" customHeight="1" s="20">
      <c r="A4" s="32" t="inlineStr">
        <is>
          <t>base-s3</t>
        </is>
      </c>
      <c r="B4" s="35">
        <f>IF($A4="","",IFERROR(IF(INDEX(Experiments!$U$2:$U$61,MATCH($A4,Experiments!$A$2:$A$61,0))="","",INDEX(Experiments!$U$2:$U$61,MATCH($A4,Experiments!$A$2:$A$61,0))),""))</f>
        <v/>
      </c>
      <c r="C4" s="35">
        <f>IF($A4="","",IFERROR(IF(INDEX(Experiments!$V$2:$V$61,MATCH($A4,Experiments!$A$2:$A$61,0))="","",INDEX(Experiments!$V$2:$V$61,MATCH($A4,Experiments!$A$2:$A$61,0))),""))</f>
        <v/>
      </c>
      <c r="D4" s="35">
        <f>IF($A4="","",IFERROR(IF(INDEX(Experiments!$Q$2:$Q$61,MATCH($A4,Experiments!$A$2:$A$61,0))="","",INDEX(Experiments!$Q$2:$Q$61,MATCH($A4,Experiments!$A$2:$A$61,0))),""))</f>
        <v/>
      </c>
    </row>
    <row r="5" ht="15" customHeight="1" s="20">
      <c r="A5" s="33" t="n"/>
      <c r="B5" s="35">
        <f>IF($A5="","",IFERROR(IF(INDEX(Experiments!$U$2:$U$61,MATCH($A5,Experiments!$A$2:$A$61,0))="","",INDEX(Experiments!$U$2:$U$61,MATCH($A5,Experiments!$A$2:$A$61,0))),""))</f>
        <v/>
      </c>
      <c r="C5" s="35">
        <f>IF($A5="","",IFERROR(IF(INDEX(Experiments!$V$2:$V$61,MATCH($A5,Experiments!$A$2:$A$61,0))="","",INDEX(Experiments!$V$2:$V$61,MATCH($A5,Experiments!$A$2:$A$61,0))),""))</f>
        <v/>
      </c>
      <c r="D5" s="35">
        <f>IF($A5="","",IFERROR(IF(INDEX(Experiments!$Q$2:$Q$61,MATCH($A5,Experiments!$A$2:$A$61,0))="","",INDEX(Experiments!$Q$2:$Q$61,MATCH($A5,Experiments!$A$2:$A$61,0))),""))</f>
        <v/>
      </c>
    </row>
    <row r="6" ht="15" customHeight="1" s="20">
      <c r="A6" s="33" t="n"/>
      <c r="B6" s="35">
        <f>IF($A6="","",IFERROR(IF(INDEX(Experiments!$U$2:$U$61,MATCH($A6,Experiments!$A$2:$A$61,0))="","",INDEX(Experiments!$U$2:$U$61,MATCH($A6,Experiments!$A$2:$A$61,0))),""))</f>
        <v/>
      </c>
      <c r="C6" s="35">
        <f>IF($A6="","",IFERROR(IF(INDEX(Experiments!$V$2:$V$61,MATCH($A6,Experiments!$A$2:$A$61,0))="","",INDEX(Experiments!$V$2:$V$61,MATCH($A6,Experiments!$A$2:$A$61,0))),""))</f>
        <v/>
      </c>
      <c r="D6" s="35">
        <f>IF($A6="","",IFERROR(IF(INDEX(Experiments!$Q$2:$Q$61,MATCH($A6,Experiments!$A$2:$A$61,0))="","",INDEX(Experiments!$Q$2:$Q$61,MATCH($A6,Experiments!$A$2:$A$61,0))),""))</f>
        <v/>
      </c>
    </row>
    <row r="8" ht="15" customHeight="1" s="20">
      <c r="A8" s="36" t="inlineStr">
        <is>
          <t>mean</t>
        </is>
      </c>
      <c r="B8" s="35">
        <f>IF(COUNT(B2:B6)=0,"",AVERAGE(B2:B6))</f>
        <v/>
      </c>
      <c r="C8" s="35">
        <f>IF(COUNT(C2:C6)=0,"",AVERAGE(C2:C6))</f>
        <v/>
      </c>
      <c r="D8" s="35">
        <f>IF(COUNT(D2:D6)=0,"",AVERAGE(D2:D6))</f>
        <v/>
      </c>
    </row>
    <row r="9" ht="15" customHeight="1" s="20">
      <c r="A9" s="36" t="inlineStr">
        <is>
          <t>std (mẫu)</t>
        </is>
      </c>
      <c r="B9" s="35">
        <f>IF(COUNT(B2:B6)&lt;2,"",STDEV(B2:B6))</f>
        <v/>
      </c>
      <c r="C9" s="35">
        <f>IF(COUNT(C2:C6)&lt;2,"",STDEV(C2:C6))</f>
        <v/>
      </c>
      <c r="D9" s="35">
        <f>IF(COUNT(D2:D6)&lt;2,"",STDEV(D2:D6))</f>
        <v/>
      </c>
    </row>
    <row r="10" ht="15" customHeight="1" s="20">
      <c r="A10" s="36" t="inlineStr">
        <is>
          <t>2σ (ngưỡng nhiễu)</t>
        </is>
      </c>
      <c r="B10" s="35">
        <f>IF(B9="","",2*B9)</f>
        <v/>
      </c>
      <c r="C10" s="35">
        <f>IF(C9="","",2*C9)</f>
        <v/>
      </c>
      <c r="D10" s="35">
        <f>IF(D9="","",2*D9)</f>
        <v/>
      </c>
    </row>
    <row r="12" ht="15" customHeight="1" s="20">
      <c r="A12" s="22" t="inlineStr">
        <is>
          <t>Nhập exp_id của các lần chạy baseline (khác seed) ở cột A. Cần ≥ 2 seed để có σ.</t>
        </is>
      </c>
    </row>
    <row r="13" ht="15" customHeight="1" s="20">
      <c r="A13" s="22" t="inlineStr">
        <is>
          <t>Mọi chênh lệch nhỏ hơn 2σ không được coi là bằng chứng. Với ít seed, σ chỉ là ước lượng thô; nêu rõ trong báo cáo.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H1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12" customWidth="1" style="19" min="1" max="1"/>
    <col width="10" customWidth="1" style="19" min="2" max="2"/>
    <col width="16" customWidth="1" style="19" min="3" max="5"/>
    <col width="14" customWidth="1" style="19" min="6" max="6"/>
    <col width="16" customWidth="1" style="19" min="7" max="7"/>
    <col width="50" customWidth="1" style="19" min="8" max="8"/>
  </cols>
  <sheetData>
    <row r="1" ht="31.5" customHeight="1" s="20">
      <c r="A1" s="27" t="inlineStr">
        <is>
          <t>group</t>
        </is>
      </c>
      <c r="B1" s="27" t="inlineStr">
        <is>
          <t>số dòng</t>
        </is>
      </c>
      <c r="C1" s="27" t="inlineStr">
        <is>
          <t>đã điền val_macro_f1</t>
        </is>
      </c>
      <c r="D1" s="27" t="inlineStr">
        <is>
          <t>val_macro_f1 cao nhất</t>
        </is>
      </c>
      <c r="E1" s="27" t="inlineStr">
        <is>
          <t>val_macro_f1 thấp nhất</t>
        </is>
      </c>
      <c r="F1" s="27" t="inlineStr">
        <is>
          <t>val_acc cao nhất</t>
        </is>
      </c>
      <c r="G1" s="27" t="inlineStr">
        <is>
          <t>đã thử chủ đề này?</t>
        </is>
      </c>
      <c r="H1" s="27" t="inlineStr">
        <is>
          <t>nhận xét ngắn (bạn viết)</t>
        </is>
      </c>
    </row>
    <row r="2" ht="15" customHeight="1" s="20">
      <c r="A2" s="31" t="inlineStr">
        <is>
          <t>baseline</t>
        </is>
      </c>
      <c r="B2" s="37">
        <f>COUNTIF(Experiments!$B$2:$B$61,A2)</f>
        <v/>
      </c>
      <c r="C2" s="37">
        <f>COUNTIFS(Experiments!$B$2:$B$61,A2,Experiments!$V$2:$V$61,"&lt;&gt;")</f>
        <v/>
      </c>
      <c r="D2" s="35">
        <f>IF(C2=0,"",_xlfn.MAXIFS(Experiments!$V$2:$V$61,Experiments!$B$2:$B$61,A2))</f>
        <v/>
      </c>
      <c r="E2" s="35">
        <f>IF(C2=0,"",_xlfn.MINIFS(Experiments!$V$2:$V$61,Experiments!$B$2:$B$61,A2))</f>
        <v/>
      </c>
      <c r="F2" s="35">
        <f>IF(C2=0,"",_xlfn.MAXIFS(Experiments!$U$2:$U$61,Experiments!$B$2:$B$61,A2))</f>
        <v/>
      </c>
      <c r="G2" s="37" t="inlineStr">
        <is>
          <t>—</t>
        </is>
      </c>
      <c r="H2" s="38" t="inlineStr">
        <is>
          <t>Baseline SGD+momentum đạt Val F1 = 0.8380 +- 0.0036, ngưỡng nhiễu 2σ = 0.0073.</t>
        </is>
      </c>
    </row>
    <row r="3" ht="15" customHeight="1" s="20">
      <c r="A3" s="31" t="inlineStr">
        <is>
          <t>loss</t>
        </is>
      </c>
      <c r="B3" s="37">
        <f>COUNTIF(Experiments!$B$2:$B$61,A3)</f>
        <v/>
      </c>
      <c r="C3" s="37">
        <f>COUNTIFS(Experiments!$B$2:$B$61,A3,Experiments!$V$2:$V$61,"&lt;&gt;")</f>
        <v/>
      </c>
      <c r="D3" s="35">
        <f>IF(C3=0,"",_xlfn.MAXIFS(Experiments!$V$2:$V$61,Experiments!$B$2:$B$61,A3))</f>
        <v/>
      </c>
      <c r="E3" s="35">
        <f>IF(C3=0,"",_xlfn.MINIFS(Experiments!$V$2:$V$61,Experiments!$B$2:$B$61,A3))</f>
        <v/>
      </c>
      <c r="F3" s="35">
        <f>IF(C3=0,"",_xlfn.MAXIFS(Experiments!$U$2:$U$61,Experiments!$B$2:$B$61,A3))</f>
        <v/>
      </c>
      <c r="G3" s="37">
        <f>IF(C3&gt;0,"Có","Chưa")</f>
        <v/>
      </c>
      <c r="H3" s="38" t="inlineStr">
        <is>
          <t>Cross-Entropy vượt trội MSE (+0.1535 F1) nhờ gradient không bị bão hoà ở vùng xác suất sai lệch.</t>
        </is>
      </c>
    </row>
    <row r="4" ht="15" customHeight="1" s="20">
      <c r="A4" s="31" t="inlineStr">
        <is>
          <t>optimizer</t>
        </is>
      </c>
      <c r="B4" s="37">
        <f>COUNTIF(Experiments!$B$2:$B$61,A4)</f>
        <v/>
      </c>
      <c r="C4" s="37">
        <f>COUNTIFS(Experiments!$B$2:$B$61,A4,Experiments!$V$2:$V$61,"&lt;&gt;")</f>
        <v/>
      </c>
      <c r="D4" s="35">
        <f>IF(C4=0,"",_xlfn.MAXIFS(Experiments!$V$2:$V$61,Experiments!$B$2:$B$61,A4))</f>
        <v/>
      </c>
      <c r="E4" s="35">
        <f>IF(C4=0,"",_xlfn.MINIFS(Experiments!$V$2:$V$61,Experiments!$B$2:$B$61,A4))</f>
        <v/>
      </c>
      <c r="F4" s="35">
        <f>IF(C4=0,"",_xlfn.MAXIFS(Experiments!$U$2:$U$61,Experiments!$B$2:$B$61,A4))</f>
        <v/>
      </c>
      <c r="G4" s="37">
        <f>IF(C4&gt;0,"Có","Chưa")</f>
        <v/>
      </c>
      <c r="H4" s="38" t="inlineStr">
        <is>
          <t>Adam lr=1e-3 đạt F1=0.8459, hội tụ nhanh từ epoch 3. SGD thuần không momentum tụt xuống 0.6962.</t>
        </is>
      </c>
    </row>
    <row r="5" ht="15" customHeight="1" s="20">
      <c r="A5" s="31" t="inlineStr">
        <is>
          <t>hparam</t>
        </is>
      </c>
      <c r="B5" s="37">
        <f>COUNTIF(Experiments!$B$2:$B$61,A5)</f>
        <v/>
      </c>
      <c r="C5" s="37">
        <f>COUNTIFS(Experiments!$B$2:$B$61,A5,Experiments!$V$2:$V$61,"&lt;&gt;")</f>
        <v/>
      </c>
      <c r="D5" s="35">
        <f>IF(C5=0,"",_xlfn.MAXIFS(Experiments!$V$2:$V$61,Experiments!$B$2:$B$61,A5))</f>
        <v/>
      </c>
      <c r="E5" s="35">
        <f>IF(C5=0,"",_xlfn.MINIFS(Experiments!$V$2:$V$61,Experiments!$B$2:$B$61,A5))</f>
        <v/>
      </c>
      <c r="F5" s="35">
        <f>IF(C5=0,"",_xlfn.MAXIFS(Experiments!$U$2:$U$61,Experiments!$B$2:$B$61,A5))</f>
        <v/>
      </c>
      <c r="G5" s="37">
        <f>IF(C5&gt;0,"Có","Chưa")</f>
        <v/>
      </c>
      <c r="H5" s="38" t="inlineStr">
        <is>
          <t>Mạng sâu arch-mdeep (256-128-64) đạt F1 cao nhất 0.8656. Batch 128 tốt hơn hẳn batch 2048.</t>
        </is>
      </c>
    </row>
    <row r="6" ht="15" customHeight="1" s="20">
      <c r="A6" s="31" t="inlineStr">
        <is>
          <t>dropout</t>
        </is>
      </c>
      <c r="B6" s="37">
        <f>COUNTIF(Experiments!$B$2:$B$61,A6)</f>
        <v/>
      </c>
      <c r="C6" s="37">
        <f>COUNTIFS(Experiments!$B$2:$B$61,A6,Experiments!$V$2:$V$61,"&lt;&gt;")</f>
        <v/>
      </c>
      <c r="D6" s="35">
        <f>IF(C6=0,"",_xlfn.MAXIFS(Experiments!$V$2:$V$61,Experiments!$B$2:$B$61,A6))</f>
        <v/>
      </c>
      <c r="E6" s="35">
        <f>IF(C6=0,"",_xlfn.MINIFS(Experiments!$V$2:$V$61,Experiments!$B$2:$B$61,A6))</f>
        <v/>
      </c>
      <c r="F6" s="35">
        <f>IF(C6=0,"",_xlfn.MAXIFS(Experiments!$U$2:$U$61,Experiments!$B$2:$B$61,A6))</f>
        <v/>
      </c>
      <c r="G6" s="37">
        <f>IF(C6&gt;0,"Có","Chưa")</f>
        <v/>
      </c>
      <c r="H6" s="38" t="inlineStr">
        <is>
          <t>Dropout làm tụt F1 (0.8220 và 0.7570) do dữ liệu 371k mẫu không bị overfit, gây underfitting.</t>
        </is>
      </c>
    </row>
    <row r="7" ht="15" customHeight="1" s="20">
      <c r="A7" s="31" t="inlineStr">
        <is>
          <t>clipping</t>
        </is>
      </c>
      <c r="B7" s="37">
        <f>COUNTIF(Experiments!$B$2:$B$61,A7)</f>
        <v/>
      </c>
      <c r="C7" s="37">
        <f>COUNTIFS(Experiments!$B$2:$B$61,A7,Experiments!$V$2:$V$61,"&lt;&gt;")</f>
        <v/>
      </c>
      <c r="D7" s="35">
        <f>IF(C7=0,"",_xlfn.MAXIFS(Experiments!$V$2:$V$61,Experiments!$B$2:$B$61,A7))</f>
        <v/>
      </c>
      <c r="E7" s="35">
        <f>IF(C7=0,"",_xlfn.MINIFS(Experiments!$V$2:$V$61,Experiments!$B$2:$B$61,A7))</f>
        <v/>
      </c>
      <c r="F7" s="35">
        <f>IF(C7=0,"",_xlfn.MAXIFS(Experiments!$U$2:$U$61,Experiments!$B$2:$B$61,A7))</f>
        <v/>
      </c>
      <c r="G7" s="37">
        <f>IF(C7&gt;0,"Có","Chưa")</f>
        <v/>
      </c>
      <c r="H7" s="38" t="inlineStr">
        <is>
          <t>Ở lr=1.0, clipping cứu mô hình tăng +0.1732 F1 so với noclip (chống bùng nổ gradient).</t>
        </is>
      </c>
    </row>
    <row r="8" ht="15" customHeight="1" s="20">
      <c r="A8" s="31" t="inlineStr">
        <is>
          <t>amp</t>
        </is>
      </c>
      <c r="B8" s="37">
        <f>COUNTIF(Experiments!$B$2:$B$61,A8)</f>
        <v/>
      </c>
      <c r="C8" s="37">
        <f>COUNTIFS(Experiments!$B$2:$B$61,A8,Experiments!$V$2:$V$61,"&lt;&gt;")</f>
        <v/>
      </c>
      <c r="D8" s="35">
        <f>IF(C8=0,"",_xlfn.MAXIFS(Experiments!$V$2:$V$61,Experiments!$B$2:$B$61,A8))</f>
        <v/>
      </c>
      <c r="E8" s="35">
        <f>IF(C8=0,"",_xlfn.MINIFS(Experiments!$V$2:$V$61,Experiments!$B$2:$B$61,A8))</f>
        <v/>
      </c>
      <c r="F8" s="35">
        <f>IF(C8=0,"",_xlfn.MAXIFS(Experiments!$U$2:$U$61,Experiments!$B$2:$B$61,A8))</f>
        <v/>
      </c>
      <c r="G8" s="37">
        <f>IF(C8&gt;0,"Có","Chưa")</f>
        <v/>
      </c>
      <c r="H8" s="38" t="inlineStr">
        <is>
          <t>Trên CPU tự fallback về FP32, thời gian và F1 tương đương baseline.</t>
        </is>
      </c>
    </row>
    <row r="9" ht="15" customHeight="1" s="20">
      <c r="A9" s="31" t="inlineStr">
        <is>
          <t>init</t>
        </is>
      </c>
      <c r="B9" s="37">
        <f>COUNTIF(Experiments!$B$2:$B$61,A9)</f>
        <v/>
      </c>
      <c r="C9" s="37">
        <f>COUNTIFS(Experiments!$B$2:$B$61,A9,Experiments!$V$2:$V$61,"&lt;&gt;")</f>
        <v/>
      </c>
      <c r="D9" s="35">
        <f>IF(C9=0,"",_xlfn.MAXIFS(Experiments!$V$2:$V$61,Experiments!$B$2:$B$61,A9))</f>
        <v/>
      </c>
      <c r="E9" s="35">
        <f>IF(C9=0,"",_xlfn.MINIFS(Experiments!$V$2:$V$61,Experiments!$B$2:$B$61,A9))</f>
        <v/>
      </c>
      <c r="F9" s="35">
        <f>IF(C9=0,"",_xlfn.MAXIFS(Experiments!$U$2:$U$61,Experiments!$B$2:$B$61,A9))</f>
        <v/>
      </c>
      <c r="G9" s="37">
        <f>IF(C9&gt;0,"Có","Chưa")</f>
        <v/>
      </c>
      <c r="H9" s="38" t="inlineStr">
        <is>
          <t>Zeros làm mạng tê liệt (F1=0.0936) do tính đối xứng; He và Xavier bảo toàn phương sai tốt nhất.</t>
        </is>
      </c>
    </row>
    <row r="10" ht="15" customHeight="1" s="20">
      <c r="A10" s="31" t="inlineStr">
        <is>
          <t>final</t>
        </is>
      </c>
      <c r="B10" s="37">
        <f>COUNTIF(Experiments!$B$2:$B$61,A10)</f>
        <v/>
      </c>
      <c r="C10" s="37">
        <f>COUNTIFS(Experiments!$B$2:$B$61,A10,Experiments!$V$2:$V$61,"&lt;&gt;")</f>
        <v/>
      </c>
      <c r="D10" s="35">
        <f>IF(C10=0,"",_xlfn.MAXIFS(Experiments!$V$2:$V$61,Experiments!$B$2:$B$61,A10))</f>
        <v/>
      </c>
      <c r="E10" s="35">
        <f>IF(C10=0,"",_xlfn.MINIFS(Experiments!$V$2:$V$61,Experiments!$B$2:$B$61,A10))</f>
        <v/>
      </c>
      <c r="F10" s="35">
        <f>IF(C10=0,"",_xlfn.MAXIFS(Experiments!$U$2:$U$61,Experiments!$B$2:$B$61,A10))</f>
        <v/>
      </c>
      <c r="G10" s="37" t="inlineStr">
        <is>
          <t>—</t>
        </is>
      </c>
      <c r="H10" s="38" t="n"/>
    </row>
    <row r="11" ht="15" customHeight="1" s="20">
      <c r="A11" s="31" t="inlineStr">
        <is>
          <t>other</t>
        </is>
      </c>
      <c r="B11" s="37">
        <f>COUNTIF(Experiments!$B$2:$B$61,A11)</f>
        <v/>
      </c>
      <c r="C11" s="37">
        <f>COUNTIFS(Experiments!$B$2:$B$61,A11,Experiments!$V$2:$V$61,"&lt;&gt;")</f>
        <v/>
      </c>
      <c r="D11" s="35">
        <f>IF(C11=0,"",_xlfn.MAXIFS(Experiments!$V$2:$V$61,Experiments!$B$2:$B$61,A11))</f>
        <v/>
      </c>
      <c r="E11" s="35">
        <f>IF(C11=0,"",_xlfn.MINIFS(Experiments!$V$2:$V$61,Experiments!$B$2:$B$61,A11))</f>
        <v/>
      </c>
      <c r="F11" s="35">
        <f>IF(C11=0,"",_xlfn.MAXIFS(Experiments!$U$2:$U$61,Experiments!$B$2:$B$61,A11))</f>
        <v/>
      </c>
      <c r="G11" s="37" t="inlineStr">
        <is>
          <t>—</t>
        </is>
      </c>
      <c r="H11" s="38" t="n"/>
    </row>
    <row r="13" ht="15" customHeight="1" s="20">
      <c r="A13" s="23" t="inlineStr">
        <is>
          <t>Số chủ đề (trong 7) đã thử:</t>
        </is>
      </c>
      <c r="D13" s="23">
        <f>COUNTIF(G2:G11,"Có")</f>
        <v/>
      </c>
    </row>
    <row r="14" ht="15" customHeight="1" s="20">
      <c r="A14" s="22" t="inlineStr">
        <is>
          <t>7 chủ đề: loss, optimizer, hparam, dropout, clipping, amp, init. Một chủ đề 'đã thử' khi có ≥ 1 dòng có val_macro_f1.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2026-10-02T03:40:32Z</dcterms:created>
  <dcterms:modified xsi:type="dcterms:W3CDTF">2026-10-03T08:36:03Z</dcterms:modified>
  <cp:revision>0</cp:revision>
</cp:coreProperties>
</file>